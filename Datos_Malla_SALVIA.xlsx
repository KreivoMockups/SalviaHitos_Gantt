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6"/>
  </bookViews>
  <sheets>
    <sheet name="Leeme" sheetId="1" state="visible" r:id="rId3"/>
    <sheet name="Plan" sheetId="2" state="visible" r:id="rId4"/>
    <sheet name="Matriz" sheetId="3" state="visible" r:id="rId5"/>
    <sheet name="Actas" sheetId="4" state="visible" r:id="rId6"/>
    <sheet name="Hitos" sheetId="5" state="visible" r:id="rId7"/>
    <sheet name="Pertenencia" sheetId="6" state="visible" r:id="rId8"/>
    <sheet name="Meses" sheetId="7" state="visible" r:id="rId9"/>
    <sheet name="Fichas_Mes" sheetId="8" state="visible" r:id="rId10"/>
    <sheet name="Tareas" sheetId="9" state="visible" r:id="rId11"/>
    <sheet name="Horas_Jira" sheetId="10" state="visible" r:id="rId12"/>
    <sheet name="Plan_Cierre" sheetId="11" state="visible" r:id="rId13"/>
    <sheet name="Tareas_Pendientes" sheetId="12" state="visible" r:id="rId14"/>
    <sheet name="Plan_Documentacion" sheetId="13" state="visible" r:id="rId15"/>
    <sheet name="Semanas_Cierre" sheetId="14" state="visible" r:id="rId16"/>
    <sheet name="Reglas_Hito" sheetId="15" state="visible" r:id="rId17"/>
    <sheet name="Contrato" sheetId="16" state="visible" r:id="rId18"/>
    <sheet name="Avance_Mensual" sheetId="17" state="visible" r:id="rId19"/>
    <sheet name="Despliegue_13oct" sheetId="18" state="visible" r:id="rId20"/>
    <sheet name="Commits_23oct" sheetId="19" state="visible" r:id="rId21"/>
    <sheet name="Trabajo_sin_horas" sheetId="20" state="visible" r:id="rId22"/>
    <sheet name="Riesgos_QA" sheetId="21" state="visible" r:id="rId23"/>
  </sheets>
  <definedNames>
    <definedName function="false" hidden="true" localSheetId="18" name="_xlnm._FilterDatabase" vbProcedure="false">Commits_23oct!$A$1:$I$28</definedName>
    <definedName function="false" hidden="true" localSheetId="17" name="_xlnm._FilterDatabase" vbProcedure="false">Despliegue_13oct!$A$1:$H$65</definedName>
    <definedName function="false" hidden="true" localSheetId="9" name="_xlnm._FilterDatabase" vbProcedure="false">Horas_Jira!$A$1:$L$86</definedName>
    <definedName function="false" hidden="true" localSheetId="1" name="_xlnm._FilterDatabase" vbProcedure="false">Plan!$A$1:$J$145</definedName>
    <definedName function="false" hidden="true" localSheetId="10" name="_xlnm._FilterDatabase" vbProcedure="false">Plan_Cierre!$A$1:$H$13</definedName>
    <definedName function="false" hidden="true" localSheetId="12" name="_xlnm._FilterDatabase" vbProcedure="false">Plan_Documentacion!$A$1:$H$34</definedName>
    <definedName function="false" hidden="true" localSheetId="20" name="_xlnm._FilterDatabase" vbProcedure="false">Riesgos_QA!$A$1:$J$178</definedName>
    <definedName function="false" hidden="true" localSheetId="13" name="_xlnm._FilterDatabase" vbProcedure="false">Semanas_Cierre!$A$1:$E$10</definedName>
    <definedName function="false" hidden="true" localSheetId="11" name="_xlnm._FilterDatabase" vbProcedure="false">Tareas_Pendientes!$A$1:$H$36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<sst xmlns="http://schemas.openxmlformats.org/spreadsheetml/2006/main" count="5347" uniqueCount="1866">
  <si>
    <t xml:space="preserve">Malla SALVIA Etapa 2</t>
  </si>
  <si>
    <t xml:space="preserve">Actualizada el 28 de octubre de 2026 (horas de gerencia de octubre en Bolsa 2 y plan de cierre a diciembre). Versión anterior: 27 de octubre de 2026.</t>
  </si>
  <si>
    <t xml:space="preserve">Hitos</t>
  </si>
  <si>
    <t xml:space="preserve">Los hitos de producto siguen los módulos del Anexo Técnico: M1 Seguimiento, M2 Tamizaje de feminicidio, M3 Medidas de Emergencia (nuevo), M4 LGBTIQ+, M5 ASP y la app móvil. Los hitos transversales H06 a H11 no cambian. La hoja Hitos trae el ID anterior de cada uno.</t>
  </si>
  <si>
    <t xml:space="preserve">Entendimiento</t>
  </si>
  <si>
    <t xml:space="preserve">Se agregaron a la EDT los grupos 4.4 (Reporte y Registro) y 4.5 (Medidas de Emergencia), más las filas de construcción 6.1.8 a 6.1.10 y de pruebas 7.1.7. Reporte y Registro cruza con M2, M4 y M5 porque sus preguntas de identificación de la víctima cubren tamizaje, LGBTIQ+ y ASP. Actas separa el avance de cada hito en entendimiento (obligaciones 1 a 4) y construcción y cierre (obligaciones 5 a 13).</t>
  </si>
  <si>
    <t xml:space="preserve">Qué se edita</t>
  </si>
  <si>
    <t xml:space="preserve">Solo la columna Avance_% de las actividades de tercer nivel en la hoja Plan (celdas amarillas) y los textos de la hoja Actas. Todo lo demás se calcula.</t>
  </si>
  <si>
    <t xml:space="preserve">Estados</t>
  </si>
  <si>
    <t xml:space="preserve">Pendiente = 0 %. En curso = entre 1 % y 99 %. Completado = 100 %. Las filas de primer y segundo nivel promedian sus actividades.</t>
  </si>
  <si>
    <t xml:space="preserve">Matriz</t>
  </si>
  <si>
    <t xml:space="preserve">Ya no es 0/1: muestra 0 si la actividad no pertenece al hito, 1 pendiente, 2 en curso, 3 completado. La pertenencia original está en la hoja Pertenencia.</t>
  </si>
  <si>
    <t xml:space="preserve">Avance del hito</t>
  </si>
  <si>
    <t xml:space="preserve">Promedio del avance de las actividades de tercer nivel que pertenecen al hito. Reemplaza los porcentajes puestos a mano en julio, que se conservan en la columna Avance_julio de Actas; por el cambio de método no son comparables uno a uno.</t>
  </si>
  <si>
    <t xml:space="preserve">Avance EDT</t>
  </si>
  <si>
    <t xml:space="preserve">Promedio de las 103 actividades de tercer nivel. El generador lo calcula y lo escribe en el encabezado del tablero.</t>
  </si>
  <si>
    <t xml:space="preserve">Evidencia y confianza</t>
  </si>
  <si>
    <t xml:space="preserve">Cada actividad cita su soporte. Alta: consta en documentos revisados. Media: inferido de ellos. Por confirmar: sin soporte en lo revisado.</t>
  </si>
  <si>
    <t xml:space="preserve">Fuentes</t>
  </si>
  <si>
    <t xml:space="preserve">Solicitud de prórroga (22-sep), informe de alcance y riesgos (17-sep), mapa mental de agosto, Anexo Técnico, historias de usuario de Medidas de Emergencia v1.0, guía del mockup de Reporte y Registro (27-sep), bitácora de ajustes (1-oct), Sprints 15 a 19, commits de septiembre y fichas de julio.</t>
  </si>
  <si>
    <t xml:space="preserve">Antes de generar</t>
  </si>
  <si>
    <t xml:space="preserve">Abrir y guardar este archivo en Excel si se cambió algún avance, para que las fórmulas queden calculadas; luego correr generador_registry.py.</t>
  </si>
  <si>
    <t xml:space="preserve">Navegación mensual</t>
  </si>
  <si>
    <t xml:space="preserve">El tablero muestra cada mes de febrero a septiembre y el corte del 6-oct. La hoja Meses trae las horas oficiales por bolsa y los aspectos relevantes de cada resumen; Fichas_Mes, el texto de cada hito por mes (tomado de los resúmenes mensuales). El corte de octubre usa los textos de Actas.</t>
  </si>
  <si>
    <t xml:space="preserve">Avance por mes</t>
  </si>
  <si>
    <t xml:space="preserve">La hoja Avance_Mensual guarda el avance de cada actividad por mes (celdas amarillas, editables). Se precargó en proporción a las horas acumuladas de sus tareas, sin superar el avance del corte actual; las actividades sin horas usan la fecha de la evidencia documentada. La columna del corte toma el valor de Plan.</t>
  </si>
  <si>
    <t xml:space="preserve">Horas por hito</t>
  </si>
  <si>
    <t xml:space="preserve">El generador lee la hoja TimeLogs de Progreso_Horas_Salvia.xlsx y asigna cada registro a un solo hito con la hoja Reglas_Hito (se aplica la primera regla que coincide, por prioridad). Las categorías de gobernanza, arquitectura, QA, despliegue y transferencia van a los hitos transversales; el resto, al módulo funcional del registro.</t>
  </si>
  <si>
    <t xml:space="preserve">Horas por actividad</t>
  </si>
  <si>
    <t xml:space="preserve">La hoja Tareas une cada Task ID con su actividad de la EDT. Algunas tareas se usaron en TimeLogs para trabajo distinto a su nombre; la columna Observacion lo indica.</t>
  </si>
  <si>
    <t xml:space="preserve">Horas de octubre</t>
  </si>
  <si>
    <t xml:space="preserve">Octubre aún no está en TimeLogs. La hoja Horas_Jira trae 468.5 h: 288.5 h del reporte de los Sprints 19 a 21 (5 al 23-oct), validado contra Jira y la hoja AFA, y 180 h de gerencia de Andrés Posada (informe INF-SGC-09, 1 al 23-oct), que no están en Jira y cubren entregables que antes figuraban sin horas (manuales técnicos y Red de Acción). Las del equipo van a Bolsa 1 y las de gerencia a Bolsa 2 (la gerencia tiene discrecionalidad para usar las bolsas). No incluye las 58,5 h del Sprint 18 marcadas "Por revisar". Cuando octubre se cargue en TimeLogs, borra esta hoja para no contar dos veces.</t>
  </si>
  <si>
    <t xml:space="preserve">Plan de cierre</t>
  </si>
  <si>
    <t xml:space="preserve">La prórroga va hasta el 31-dic-2026. Semanas_Cierre define 8 semanas de trabajo (26-oct al 19-dic) y el cierre del 21 al 31-dic; Plan_Cierre trae las 12 líneas del Gantt del cliente con etapa, responsable y semanas; Tareas_Pendientes, las tareas por desarrollar de los tableros FigJam (Sprint 26 Oct, Terminar Medidas y hallazgos del Módulo Rutas); Plan_Documentacion, los 11 documentos por módulo que ejecuta Brayan. El tablero los muestra en la sección Plan de cierre.</t>
  </si>
  <si>
    <t xml:space="preserve">Grupos</t>
  </si>
  <si>
    <t xml:space="preserve">La columna Grupo de Actas separa los módulos contractuales del Anexo Técnico de los hitos transversales.</t>
  </si>
  <si>
    <t xml:space="preserve">Despliegue 13-oct</t>
  </si>
  <si>
    <t xml:space="preserve">La hoja Despliegue_13oct lista los 64 cambios listos para subir a main, con su actividad de la EDT y el hallazgo que atienden. Con esta evidencia se subió el avance del corte de octubre en 3.1.3, 5.1.3, 6.1.1, 6.1.5, 6.1.8, 7.1.1, 7.1.3, 7.1.6 y 7.2.1, y se agregaron las filas 6.1.11 (Atención Psicosocial) y 6.1.12 (Rutas y gestión institucional), que la EDT no tenía.</t>
  </si>
  <si>
    <t xml:space="preserve">Commits 23-oct</t>
  </si>
  <si>
    <t xml:space="preserve">La hoja Commits_23oct lista los 29 commits de develop y testing del 13 al 23-oct con su actividad de la EDT. Con esta evidencia se subió el avance en 3.1.2, 3.1.3, 4.2.2, 4.4.8, 5.1.2, 5.1.3, 6.1.4, 6.1.8, 6.1.11, 6.1.12 y 7.1.5. Todo está en testing; main sigue sin cambios desde el 10-sep, por lo que 7.1.3 (paso a producción) no cambia.</t>
  </si>
  <si>
    <t xml:space="preserve">Ajustes 28-oct</t>
  </si>
  <si>
    <t xml:space="preserve">Con el plan de cierre, la prórroga y lo registrado en Jira en octubre se subió el avance de 2.1.2, 2.1.4, 4.2.2, 4.5.2, 4.5.4, 6.1.9, 8.1.2 y 12.1.1. Con el uso de los videos en capacitación y su aceptación parcial en producción (según el equipo) se subieron 6.1.2, 7.1.2, 8.1.2, 9.1.2 y 12.1.2.</t>
  </si>
  <si>
    <t xml:space="preserve">Trabajo sin horas</t>
  </si>
  <si>
    <t xml:space="preserve">La hoja Trabajo_sin_horas registra entregables realizados que no aparecen, o no completos, en TimeLogs (mockups, historias de usuario, desarrollos y despliegues). El tablero los muestra en el resumen del mes y en la ficha de cada hito, sin cambiar las horas reportadas.</t>
  </si>
  <si>
    <t xml:space="preserve">Riesgos_QA</t>
  </si>
  <si>
    <t xml:space="preserve">Hallazgos de QA con fecha de detección y de cierre. El dashboard marca con ⚠ un hito cuando, al corte del mes seleccionado, tiene hallazgos con Critico = Sí (severidad Crítica o Alta) abiertos: detectados antes del corte y sin cerrar, o cerrados después del corte. Los cerrados sin fecha en la matriz toman la fecha de la revisión Kreivo (8-oct-2026). Celdas amarillas editables.</t>
  </si>
  <si>
    <t xml:space="preserve">ID</t>
  </si>
  <si>
    <t xml:space="preserve">Actividad</t>
  </si>
  <si>
    <t xml:space="preserve">ENTREGABLE</t>
  </si>
  <si>
    <t xml:space="preserve">Nivel</t>
  </si>
  <si>
    <t xml:space="preserve">Avance_%</t>
  </si>
  <si>
    <t xml:space="preserve">Estado</t>
  </si>
  <si>
    <t xml:space="preserve">Evidencia al 28-oct-2026</t>
  </si>
  <si>
    <t xml:space="preserve">Confianza</t>
  </si>
  <si>
    <t xml:space="preserve">Codigo_Estado</t>
  </si>
  <si>
    <t xml:space="preserve">Fase</t>
  </si>
  <si>
    <t xml:space="preserve">1</t>
  </si>
  <si>
    <t xml:space="preserve">OBL-01: APROBACION EQUIPO DE TRABAJO</t>
  </si>
  <si>
    <t xml:space="preserve">Hojas de vida, soportes academicos y certificados de proyectos aprobados por el Ministerio</t>
  </si>
  <si>
    <t xml:space="preserve">1.1</t>
  </si>
  <si>
    <t xml:space="preserve">Conformacion y validacion del equipo (Bolsa 1)</t>
  </si>
  <si>
    <t xml:space="preserve">Equipo Bolsa 1 conformado y aprobado</t>
  </si>
  <si>
    <t xml:space="preserve">1.1.1</t>
  </si>
  <si>
    <t xml:space="preserve">Entrega de hojas de vida y soportes del equipo</t>
  </si>
  <si>
    <t xml:space="preserve">HV, soportes academicos y certificados entregados</t>
  </si>
  <si>
    <t xml:space="preserve">El equipo opera desde febrero; sin acta de aprobación en los documentos revisados</t>
  </si>
  <si>
    <t xml:space="preserve">Media</t>
  </si>
  <si>
    <t xml:space="preserve">1.1.2</t>
  </si>
  <si>
    <t xml:space="preserve">Reunion de inicio y presentacion del proyecto</t>
  </si>
  <si>
    <t xml:space="preserve">Acta de reunion de inicio</t>
  </si>
  <si>
    <t xml:space="preserve">Acta de inicio del 26-ene-2026, citada en la solicitud de prórroga</t>
  </si>
  <si>
    <t xml:space="preserve">Alta</t>
  </si>
  <si>
    <t xml:space="preserve">2</t>
  </si>
  <si>
    <t xml:space="preserve">OBL-02: PLAN DE GESTION DEL PROYECTO</t>
  </si>
  <si>
    <t xml:space="preserve">Plan de gestion, cronograma, plan de comunicaciones, gestion del cambio, plan de QA y matriz de riesgos</t>
  </si>
  <si>
    <t xml:space="preserve">2.1</t>
  </si>
  <si>
    <t xml:space="preserve">Gestion integral del proyecto SALVIA Web (Bolsa 1)</t>
  </si>
  <si>
    <t xml:space="preserve">Artefactos de gestion de la Bolsa 1 aprobados</t>
  </si>
  <si>
    <t xml:space="preserve">2.1.1</t>
  </si>
  <si>
    <t xml:space="preserve">Presentacion, aprobacion y uso del Mockup Kreivo-SALVIA</t>
  </si>
  <si>
    <t xml:space="preserve">Mockup v2.4-v3.4 aprobado por el Ministerio</t>
  </si>
  <si>
    <t xml:space="preserve">Ficha de julio: mockups v2.4 a v3.4 validados</t>
  </si>
  <si>
    <t xml:space="preserve">2.1.2</t>
  </si>
  <si>
    <t xml:space="preserve">Firma de Acta de Alcance y SLA</t>
  </si>
  <si>
    <t xml:space="preserve">Acta de alcance y SLA firmada</t>
  </si>
  <si>
    <t xml:space="preserve">Prórroga del contrato otorgada hasta el 31-dic-2026; queda pendiente el acta formal del nuevo alcance</t>
  </si>
  <si>
    <t xml:space="preserve">2.1.3</t>
  </si>
  <si>
    <t xml:space="preserve">Levantamiento: Modulo Web ASP - Variables de Riesgo</t>
  </si>
  <si>
    <t xml:space="preserve">Documento de variables de riesgo ASP</t>
  </si>
  <si>
    <t xml:space="preserve">Variables de riesgo documentadas en julio. Lineamientos, mockups y criterios de la Dirección ASP no recibidos</t>
  </si>
  <si>
    <t xml:space="preserve">2.1.4</t>
  </si>
  <si>
    <t xml:space="preserve">Gantt y plan de trabajo Kreivo-SALVIA</t>
  </si>
  <si>
    <t xml:space="preserve">Cronograma Gantt aprobado</t>
  </si>
  <si>
    <t xml:space="preserve">Gantt aprobado en julio y ajustado a la prórroga hasta el 31-dic: plan de cierre de 8 semanas con 12 líneas, responsables y semanas (hoja Plan_Cierre, 28-oct)</t>
  </si>
  <si>
    <t xml:space="preserve">2.2</t>
  </si>
  <si>
    <t xml:space="preserve">Gestion integral del proyecto App MASP (Bolsa 2)</t>
  </si>
  <si>
    <t xml:space="preserve">Artefactos de gestion de la Bolsa 2 aprobados</t>
  </si>
  <si>
    <t xml:space="preserve">2.2.1</t>
  </si>
  <si>
    <t xml:space="preserve">App MASP: diseno de interfaz segura</t>
  </si>
  <si>
    <t xml:space="preserve">Documento de UX/UI de interfaz segura</t>
  </si>
  <si>
    <t xml:space="preserve">Rediseño de la app entregado el 16-sep</t>
  </si>
  <si>
    <t xml:space="preserve">2.2.2</t>
  </si>
  <si>
    <t xml:space="preserve">App MASP: diseno de alertas y Push Notifications</t>
  </si>
  <si>
    <t xml:space="preserve">Especificacion de alertas y notificaciones push</t>
  </si>
  <si>
    <t xml:space="preserve">Informe 17-sep: Seguridad y SOS completado; sincronización y bitácora en desarrollo</t>
  </si>
  <si>
    <t xml:space="preserve">2.2.3</t>
  </si>
  <si>
    <t xml:space="preserve">App MASP: integracion con core SALVIA</t>
  </si>
  <si>
    <t xml:space="preserve">Especificacion de integracion API App-Core</t>
  </si>
  <si>
    <t xml:space="preserve">Integración app-web prevista para octubre; el desarrollo integral de ASP no es viable en la prórroga</t>
  </si>
  <si>
    <t xml:space="preserve">3</t>
  </si>
  <si>
    <t xml:space="preserve">OBL-03: METODOLOGIA DE DESARROLLO DE SOFTWARE</t>
  </si>
  <si>
    <t xml:space="preserve">Documento metodologico (Planificacion, Diseno, QA, Lanzamiento, Mantenimiento)</t>
  </si>
  <si>
    <t xml:space="preserve">3.1</t>
  </si>
  <si>
    <t xml:space="preserve">Metodologia de desarrollo - SALVIA Web (Bolsa 1)</t>
  </si>
  <si>
    <t xml:space="preserve">Metodologia documentada y aprobada para modulos web</t>
  </si>
  <si>
    <t xml:space="preserve">3.1.1</t>
  </si>
  <si>
    <t xml:space="preserve">Diseno y logica: Landing Page, Login y Captcha</t>
  </si>
  <si>
    <t xml:space="preserve">Pantallas y logica aprobadas</t>
  </si>
  <si>
    <t xml:space="preserve">En producción. Hay un rediseño del login en rama de diseño, sin integrar</t>
  </si>
  <si>
    <t xml:space="preserve">3.1.2</t>
  </si>
  <si>
    <t xml:space="preserve">Logica y arbol de decision: Modulo de Tamizaje (escala severidad)</t>
  </si>
  <si>
    <t xml:space="preserve">Arbol de decision aprobado</t>
  </si>
  <si>
    <t xml:space="preserve">Clasificación alto/bajo y tiempos por riesgo operan; el árbol de tamizaje ya se calcula desde el Registro V3 en testing (casos TZ del plan de QA). Falta calibrar rangos con el Ministerio</t>
  </si>
  <si>
    <t xml:space="preserve">3.1.3</t>
  </si>
  <si>
    <t xml:space="preserve">Refinamiento UX: Dashboard y trazabilidad de casos</t>
  </si>
  <si>
    <t xml:space="preserve">UX final de dashboard y trazabilidad</t>
  </si>
  <si>
    <t xml:space="preserve">Corte 13-oct más, en testing: estados de caso que la lista mostraba como Desconocido, con filtro por estado (4f9b633), y casos registrados que quedan con estado (1dee9b9)</t>
  </si>
  <si>
    <t xml:space="preserve">3.2</t>
  </si>
  <si>
    <t xml:space="preserve">Metodologia de desarrollo - App MASP (Bolsa 2)</t>
  </si>
  <si>
    <t xml:space="preserve">Metodologia documentada y aprobada para app movil</t>
  </si>
  <si>
    <t xml:space="preserve">3.2.1</t>
  </si>
  <si>
    <t xml:space="preserve">Diseno de flujos y UI: App Movil MASP</t>
  </si>
  <si>
    <t xml:space="preserve">Flujos y UI aprobados</t>
  </si>
  <si>
    <t xml:space="preserve">Flujos y pantallas de la app definidos; la prórroga no incluye pantallas nuevas</t>
  </si>
  <si>
    <t xml:space="preserve">3.2.2</t>
  </si>
  <si>
    <t xml:space="preserve">Aprobacion de Arquitectura e Interoperabilidad</t>
  </si>
  <si>
    <t xml:space="preserve">Documento de arquitectura de interoperabilidad aprobado</t>
  </si>
  <si>
    <t xml:space="preserve">Arquitectura aprobada; mecanismo de interoperabilidad con SIVIGE sin definir</t>
  </si>
  <si>
    <t xml:space="preserve">4</t>
  </si>
  <si>
    <t xml:space="preserve">OBL-04: ANALISIS, DISENO Y REQUERIMIENTOS</t>
  </si>
  <si>
    <t xml:space="preserve">Arquitectura, casos de uso, diccionario de datos, diagramas, actas de mesas tecnicas e historias de usuario</t>
  </si>
  <si>
    <t xml:space="preserve">4.1</t>
  </si>
  <si>
    <t xml:space="preserve">Documentacion previa y auditoria (Bolsa 1)</t>
  </si>
  <si>
    <t xml:space="preserve">Documentacion de la etapa 1 consolidada</t>
  </si>
  <si>
    <t xml:space="preserve">4.1.1</t>
  </si>
  <si>
    <t xml:space="preserve">Documentacion y metodologia SALVIA Web heredada</t>
  </si>
  <si>
    <t xml:space="preserve">Informe de documentacion SALVIA Web</t>
  </si>
  <si>
    <t xml:space="preserve">Fase inicial cerrada (hito de arquitectura al 100 % en julio)</t>
  </si>
  <si>
    <t xml:space="preserve">4.1.2</t>
  </si>
  <si>
    <t xml:space="preserve">Historias de Usuario actuales (sistema heredado)</t>
  </si>
  <si>
    <t xml:space="preserve">Inventario de HU existentes</t>
  </si>
  <si>
    <t xml:space="preserve">Fase inicial cerrada</t>
  </si>
  <si>
    <t xml:space="preserve">4.1.3</t>
  </si>
  <si>
    <t xml:space="preserve">Arquitectura actual y diagnostico de deuda tecnica</t>
  </si>
  <si>
    <t xml:space="preserve">Informe de arquitectura actual</t>
  </si>
  <si>
    <t xml:space="preserve">4.2</t>
  </si>
  <si>
    <t xml:space="preserve">Analisis y diseno SALVIA Web (Bolsa 1)</t>
  </si>
  <si>
    <t xml:space="preserve">Artefactos de analisis y diseno aprobados</t>
  </si>
  <si>
    <t xml:space="preserve">4.2.1</t>
  </si>
  <si>
    <t xml:space="preserve">Arquitectura SOG hacia EAV-DAG</t>
  </si>
  <si>
    <t xml:space="preserve">Diseno de arquitectura EAV-DAG</t>
  </si>
  <si>
    <t xml:space="preserve">Arquitectura EAV-DAG implementada y en producción</t>
  </si>
  <si>
    <t xml:space="preserve">4.2.2</t>
  </si>
  <si>
    <t xml:space="preserve">Casos de uso e Historias de Usuario (interconectividad y flujo)</t>
  </si>
  <si>
    <t xml:space="preserve">Casos de uso e HU integrados</t>
  </si>
  <si>
    <t xml:space="preserve">Historias de usuario en curso (PSWYA-778, Medidas) y formulario de seguimiento V4 con prototipo, siembra y lógica (PSWYA-871 a 878, octubre)</t>
  </si>
  <si>
    <t xml:space="preserve">4.2.3</t>
  </si>
  <si>
    <t xml:space="preserve">Diagramas Figma y diccionario de datos (SALVIA Web)</t>
  </si>
  <si>
    <t xml:space="preserve">Diagramas Figma y diccionario de datos</t>
  </si>
  <si>
    <t xml:space="preserve">Diccionario preliminar entregado; mockups de Medidas, Familiares y LGBTIQ+ por aprobar</t>
  </si>
  <si>
    <t xml:space="preserve">4.2.4</t>
  </si>
  <si>
    <t xml:space="preserve">Actas de mesas tecnicas</t>
  </si>
  <si>
    <t xml:space="preserve">Actas de mesas tecnicas firmadas</t>
  </si>
  <si>
    <t xml:space="preserve">Mesas técnicas continuas; últimas el 30-sep (cuatro sesiones)</t>
  </si>
  <si>
    <t xml:space="preserve">4.2.5</t>
  </si>
  <si>
    <t xml:space="preserve">Historias de Usuario ancladas a Figma</t>
  </si>
  <si>
    <t xml:space="preserve">HU vinculadas a Figma</t>
  </si>
  <si>
    <t xml:space="preserve">Depende de los mockups pendientes de aprobación</t>
  </si>
  <si>
    <t xml:space="preserve">4.2.6</t>
  </si>
  <si>
    <t xml:space="preserve">Migracion de Kobo a Zenkit (analisis solucion transitoria)</t>
  </si>
  <si>
    <t xml:space="preserve">Zenkit desplegado y operativo</t>
  </si>
  <si>
    <t xml:space="preserve">Ficha de julio: solución transitoria Zenkit desplegada</t>
  </si>
  <si>
    <t xml:space="preserve">4.2.7</t>
  </si>
  <si>
    <t xml:space="preserve">Integracion data SOG hacia EAV-DAG</t>
  </si>
  <si>
    <t xml:space="preserve">Scripts de integracion ejecutados</t>
  </si>
  <si>
    <t xml:space="preserve">Migración ejecutada; quedan casos migrados con formularios vacíos o sin esquema (SEG-01, SEG-02)</t>
  </si>
  <si>
    <t xml:space="preserve">4.2.8</t>
  </si>
  <si>
    <t xml:space="preserve">Documentacion y metodologia App MASP</t>
  </si>
  <si>
    <t xml:space="preserve">Informe de documentacion App MASP</t>
  </si>
  <si>
    <t xml:space="preserve">Sin evidencia en los documentos revisados</t>
  </si>
  <si>
    <t xml:space="preserve">Por confirmar</t>
  </si>
  <si>
    <t xml:space="preserve">4.3</t>
  </si>
  <si>
    <t xml:space="preserve">Analisis y diseno App MASP (Bolsa 2)</t>
  </si>
  <si>
    <t xml:space="preserve">Artefactos de analisis y diseno de la App aprobados</t>
  </si>
  <si>
    <t xml:space="preserve">4.3.1</t>
  </si>
  <si>
    <t xml:space="preserve">Diagramas Figma y diccionario de datos (App MASP)</t>
  </si>
  <si>
    <t xml:space="preserve">Diagramas Figma y diccionario de datos App</t>
  </si>
  <si>
    <t xml:space="preserve">Rediseño hecho; diccionario de datos de la app sin evidencia</t>
  </si>
  <si>
    <t xml:space="preserve">4.4</t>
  </si>
  <si>
    <t xml:space="preserve">Entendimiento: Reporte y Registro (Bolsa 1)</t>
  </si>
  <si>
    <t xml:space="preserve">Guion, formulario y mockup de Reporte y Registro validados</t>
  </si>
  <si>
    <t xml:space="preserve">4.4.1</t>
  </si>
  <si>
    <t xml:space="preserve">Guion Funcional de Registro v3.0 y Formulario Kreivo v5.0</t>
  </si>
  <si>
    <t xml:space="preserve">Guion funcional y formulario de registro</t>
  </si>
  <si>
    <t xml:space="preserve">Mockup de Reportes, Registro y Alerta Inminente aprobado por Gestión del Conocimiento (según el equipo, 13-oct). Base: Guion v3.0 y Formulario v5.0 existen (guía del 27-sep); los rangos del tamizaje están marcados como pendientes de ajuste</t>
  </si>
  <si>
    <t xml:space="preserve">4.4.2</t>
  </si>
  <si>
    <t xml:space="preserve">Mockup de Reporte y Registro y guia de 22 videos</t>
  </si>
  <si>
    <t xml:space="preserve">Mockup navegable y guia de videos</t>
  </si>
  <si>
    <t xml:space="preserve">Mockup y guía de 22 videos entregados el 27-sep; los videos no se grabaron porque el HTML pasó directo al equipo de desarrollo</t>
  </si>
  <si>
    <t xml:space="preserve">4.4.3</t>
  </si>
  <si>
    <t xml:space="preserve">Identificacion de la victima: preguntas OSIGD para poblacion LGBTIQ+</t>
  </si>
  <si>
    <t xml:space="preserve">Preguntas y logica condicional LGBTIQ+ definidas</t>
  </si>
  <si>
    <t xml:space="preserve">Mockup de Reportes, Registro y Alerta Inminente aprobado por Gestión del Conocimiento (según el equipo, 13-oct). Antes: Preguntas OSIGD y lógica condicional en el mockup (videos 13, 14, 17 y 19); falta la lista cerrada de preguntas (MOC-04)</t>
  </si>
  <si>
    <t xml:space="preserve">4.4.4</t>
  </si>
  <si>
    <t xml:space="preserve">Identificacion de la victima: actividades sexuales pagas (ASP)</t>
  </si>
  <si>
    <t xml:space="preserve">Preguntas de identificacion ASP definidas</t>
  </si>
  <si>
    <t xml:space="preserve">Mockup de Reportes, Registro y Alerta Inminente aprobado por Gestión del Conocimiento (según el equipo, 13-oct). Incluye el formulario del módulo web ASP. Antes: La identificación de ASP aparece en datos personales (video 14); la caracterización ampliada no tiene lineamientos de la Dirección ASP</t>
  </si>
  <si>
    <t xml:space="preserve">4.4.5</t>
  </si>
  <si>
    <t xml:space="preserve">Tamizaje de riesgo en el registro: bifurcaciones, puntaje y alertas</t>
  </si>
  <si>
    <t xml:space="preserve">Instrumento de tamizaje por perfil definido</t>
  </si>
  <si>
    <t xml:space="preserve">Mockup de Reportes, Registro y Alerta Inminente aprobado por Gestión del Conocimiento (según el equipo, 13-oct). Queda confirmar los rangos del puntaje, que la guía marcaba pendientes. Antes: Bifurcaciones OSIGD y pareja/no pareja y alertas en el mockup (videos 17 y 19); se asumió 1 punto por cada Sí, rangos por validar (MOC-05)</t>
  </si>
  <si>
    <t xml:space="preserve">4.4.6</t>
  </si>
  <si>
    <t xml:space="preserve">Gestion de reportes, recontacto 3x3 y envio del caso a Seguimiento</t>
  </si>
  <si>
    <t xml:space="preserve">Flujo de reporte a caso definido</t>
  </si>
  <si>
    <t xml:space="preserve">Flujo de reportes, recontacto 3x3 y envío a Seguimiento en el mockup (videos 07 a 10 y 18)</t>
  </si>
  <si>
    <t xml:space="preserve">4.4.7</t>
  </si>
  <si>
    <t xml:space="preserve">Validacion con el Ministerio de los puntos abiertos del mockup</t>
  </si>
  <si>
    <t xml:space="preserve">Decisiones del mockup validadas</t>
  </si>
  <si>
    <t xml:space="preserve">Mockup de Reportes, Registro y Alerta Inminente aprobado por Gestión del Conocimiento (según el equipo, 13-oct). Antes: El mockup tomó 10 decisiones donde guion y formulario no coinciden; sin evidencia de validación del Ministerio</t>
  </si>
  <si>
    <t xml:space="preserve">4.4.8</t>
  </si>
  <si>
    <t xml:space="preserve">Historia de usuario del nuevo formulario de registro</t>
  </si>
  <si>
    <t xml:space="preserve">Historia de usuario aprobada</t>
  </si>
  <si>
    <t xml:space="preserve">Especificación de Registro V3 en DocsMD (eventos, campos, condicionales) y plan de QA con 25 casos (14 y 15-oct); PSWYA-778 sigue abierta</t>
  </si>
  <si>
    <t xml:space="preserve">4.5</t>
  </si>
  <si>
    <t xml:space="preserve">Entendimiento: Medidas de Emergencia (Bolsa 1)</t>
  </si>
  <si>
    <t xml:space="preserve">Historias de usuario, mockups y criterios de Medidas de Emergencia aprobados</t>
  </si>
  <si>
    <t xml:space="preserve">4.5.1</t>
  </si>
  <si>
    <t xml:space="preserve">Historias de usuario de Medidas de Emergencia v1.0 (38 HU)</t>
  </si>
  <si>
    <t xml:space="preserve">Documento de historias de usuario</t>
  </si>
  <si>
    <t xml:space="preserve">Documento v1.0 con 38 historias en 12 grupos: remisión, riesgo inminente, caracterización, Cruz Roja, seguimiento, novedades y conclusión</t>
  </si>
  <si>
    <t xml:space="preserve">4.5.2</t>
  </si>
  <si>
    <t xml:space="preserve">Mockups de Medidas de Emergencia y revision con el Ministerio</t>
  </si>
  <si>
    <t xml:space="preserve">Mockups aprobados</t>
  </si>
  <si>
    <t xml:space="preserve">Mockups de Medidas de Emergencia (PSWYA-862, 12 y 13-oct) y sesiones de feedback con el Ministerio; pendiente retroalimentación del Equipo Técnico-Administrativo</t>
  </si>
  <si>
    <t xml:space="preserve">4.5.3</t>
  </si>
  <si>
    <t xml:space="preserve">Matriz de campos y logica para determinar las medidas</t>
  </si>
  <si>
    <t xml:space="preserve">Matriz de campos y reglas de pertinencia</t>
  </si>
  <si>
    <t xml:space="preserve">La prórroga la lista como insumo mínimo para congelar alcance; en agosto el motor se validó con dos casos en sesión</t>
  </si>
  <si>
    <t xml:space="preserve">4.5.4</t>
  </si>
  <si>
    <t xml:space="preserve">Familiares y personas huerfanas dentro de Medidas (Ley 2530 de 2025)</t>
  </si>
  <si>
    <t xml:space="preserve">Variables y bloques repetibles definidos</t>
  </si>
  <si>
    <t xml:space="preserve">Mockup de Registro Familiares Feminicidio en revisión (Andrés Felipe, semanas 2 a 5 del plan de cierre); las 38 historias de usuario no cubren familiares</t>
  </si>
  <si>
    <t xml:space="preserve">4.5.5</t>
  </si>
  <si>
    <t xml:space="preserve">Criterios de aceptacion y estados aprobados por el Ministerio</t>
  </si>
  <si>
    <t xml:space="preserve">Criterios de aceptacion firmados</t>
  </si>
  <si>
    <t xml:space="preserve">Pendiente de aprobación formal del Ministerio; condición de la prórroga para iniciar desarrollo</t>
  </si>
  <si>
    <t xml:space="preserve">5</t>
  </si>
  <si>
    <t xml:space="preserve">OBL-05: DESARROLLO DE MODULOS SALVIA</t>
  </si>
  <si>
    <t xml:space="preserve">Codigo fuente documentado, manuales de usuario, documentacion tecnica y componentes de BD y aplicacion</t>
  </si>
  <si>
    <t xml:space="preserve">Construcción y cierre</t>
  </si>
  <si>
    <t xml:space="preserve">5.1</t>
  </si>
  <si>
    <t xml:space="preserve">Sprints de construccion SALVIA Web (Bolsa 1)</t>
  </si>
  <si>
    <t xml:space="preserve">Sprints 1 a 5 entregados</t>
  </si>
  <si>
    <t xml:space="preserve">5.1.1</t>
  </si>
  <si>
    <t xml:space="preserve">Sprint 1: Setup de entornos, BD y seguridad (autenticacion)</t>
  </si>
  <si>
    <t xml:space="preserve">Entornos, BD y autenticacion listos</t>
  </si>
  <si>
    <t xml:space="preserve">Entornos, base de datos y roles en producción</t>
  </si>
  <si>
    <t xml:space="preserve">5.1.2</t>
  </si>
  <si>
    <t xml:space="preserve">Sprint 2: Modulos de registro y motor de tamizaje</t>
  </si>
  <si>
    <t xml:space="preserve">Modulo de registro y motor de tamizaje operativos</t>
  </si>
  <si>
    <t xml:space="preserve">Registro en producción; el tamizaje del nuevo Registro V3 persiste y se relee de la base (2c78f3b, en testing). Pendiente: confirmar rangos del puntaje y paso a main</t>
  </si>
  <si>
    <t xml:space="preserve">5.1.3</t>
  </si>
  <si>
    <t xml:space="preserve">Sprint 3: Dashboard de trazabilidad y alertas</t>
  </si>
  <si>
    <t xml:space="preserve">Dashboard de trazabilidad y alertas desplegado</t>
  </si>
  <si>
    <t xml:space="preserve">Corte 13-oct más, en testing: estado obligatorio al registrar caso (1dee9b9) y filtro por estado en Lista de casos (4f9b633)</t>
  </si>
  <si>
    <t xml:space="preserve">5.1.4</t>
  </si>
  <si>
    <t xml:space="preserve">Sprint 5: Integracion SIVIGE (interoperabilidad)</t>
  </si>
  <si>
    <t xml:space="preserve">API de interoperabilidad con SIVIGE</t>
  </si>
  <si>
    <t xml:space="preserve">Mecanismo de réplica y auditoría con SIVIGE sin definir (riesgo 2 del informe del 17-sep)</t>
  </si>
  <si>
    <t xml:space="preserve">5.2</t>
  </si>
  <si>
    <t xml:space="preserve">Sprints de construccion App MASP (Bolsa 2)</t>
  </si>
  <si>
    <t xml:space="preserve">Sprints 4 y 6 de la App entregados</t>
  </si>
  <si>
    <t xml:space="preserve">5.2.1</t>
  </si>
  <si>
    <t xml:space="preserve">Sprint 4: Desarrollo App MASP (iOS / Android)</t>
  </si>
  <si>
    <t xml:space="preserve">Build nativo iOS y Android generado</t>
  </si>
  <si>
    <t xml:space="preserve">Versión Android subida el 23-sep; iOS sin evidencia; directorio en desarrollo</t>
  </si>
  <si>
    <t xml:space="preserve">5.2.2</t>
  </si>
  <si>
    <t xml:space="preserve">Ejecucion de pruebas unitarias y de carga (sprint)</t>
  </si>
  <si>
    <t xml:space="preserve">Pruebas unitarias y de carga del sprint ejecutadas</t>
  </si>
  <si>
    <t xml:space="preserve">Sin evidencia de pruebas unitarias ni de carga de la app</t>
  </si>
  <si>
    <t xml:space="preserve">6</t>
  </si>
  <si>
    <t xml:space="preserve">OBL-06: ACOMPANAMIENTO EN FASES DE DESARROLLO</t>
  </si>
  <si>
    <t xml:space="preserve">Actas de acompanamiento y uso de modulos (diseno, pruebas, produccion) y documento de verificacion de calidad</t>
  </si>
  <si>
    <t xml:space="preserve">6.1</t>
  </si>
  <si>
    <t xml:space="preserve">Acompanamiento SALVIA Web (Bolsa 1)</t>
  </si>
  <si>
    <t xml:space="preserve">Acompanamiento continuo a la construccion de modulos web</t>
  </si>
  <si>
    <t xml:space="preserve">6.1.1</t>
  </si>
  <si>
    <t xml:space="preserve">BI: Diseno de Dashboards y ETL</t>
  </si>
  <si>
    <t xml:space="preserve">Dashboards y rutinas ETL implementados</t>
  </si>
  <si>
    <t xml:space="preserve">Lista para main (corte 13-oct): cerca de 30 campos nuevos en el Excel consolidado y corrección de tipo/subtipo de violencia. Antes: tablero de KPIs y descarga existen, con hallazgos (SEG-07, SEG-08); BI en mockup</t>
  </si>
  <si>
    <t xml:space="preserve">6.1.2</t>
  </si>
  <si>
    <t xml:space="preserve">Adopcion: manuales y capacitacion (SALVIA Web)</t>
  </si>
  <si>
    <t xml:space="preserve">Manuales de adopcion y plan de capacitacion</t>
  </si>
  <si>
    <t xml:space="preserve">Ocho manuales técnicos de SALVIA Web en PDF (14 y 15-oct) y 15 videos de uso de SALVIA Web (unos 58 minutos: Seguimiento, detalle y timeline del caso, 3x3, plan de contactos, Barreras, oficios, Notificaciones, Tareas, reasignación y reportes) más 2 videos de avance de Rutas (16 minutos), Mapa de navegación y consolidado de historias de usuario (48 págs.), usados por la entidad en capacitación y pruebas (según el equipo, 28-oct)</t>
  </si>
  <si>
    <t xml:space="preserve">6.1.3</t>
  </si>
  <si>
    <t xml:space="preserve">Setup entornos, BD Postgres y seguridad (SALVIA)</t>
  </si>
  <si>
    <t xml:space="preserve">Entornos productivos configurados</t>
  </si>
  <si>
    <t xml:space="preserve">Entornos productivos operando</t>
  </si>
  <si>
    <t xml:space="preserve">6.1.4</t>
  </si>
  <si>
    <t xml:space="preserve">Modulo de recepcion y motor de tamizaje (web)</t>
  </si>
  <si>
    <t xml:space="preserve">Modulo de recepcion y tamizaje web operativo</t>
  </si>
  <si>
    <t xml:space="preserve">Igual que 5.1.2: tamizaje integrado al Registro V3 en testing (23-oct)</t>
  </si>
  <si>
    <t xml:space="preserve">6.1.5</t>
  </si>
  <si>
    <t xml:space="preserve">Modulo de seguimiento y tableros BI/ETL (web)</t>
  </si>
  <si>
    <t xml:space="preserve">Modulo de seguimiento con BI y ETL</t>
  </si>
  <si>
    <t xml:space="preserve">Lista para main (corte 13-oct) más, en testing: nombre del agente resuelto en backend, seguimientos realizados y pendientes agrupados, y sin bloqueo de fecha al iniciar o abrir el formulario (adc24dc, 345b0df). El nuevo formulario V4 se registra en 4.2.2</t>
  </si>
  <si>
    <t xml:space="preserve">6.1.6</t>
  </si>
  <si>
    <t xml:space="preserve">Modulo LGBTIQ+ (construccion y variables diferenciales)</t>
  </si>
  <si>
    <t xml:space="preserve">Modulo LGBTIQ+ implementado</t>
  </si>
  <si>
    <t xml:space="preserve">Secciones OSIGHN construidas en psicosocial (17-sep); MVP de preguntas en registro y seguimiento pendiente de lista cerrada</t>
  </si>
  <si>
    <t xml:space="preserve">6.1.7</t>
  </si>
  <si>
    <t xml:space="preserve">Modulo ASP Web - caracterizacion y analisis de riesgo</t>
  </si>
  <si>
    <t xml:space="preserve">Modulo SALVIA Web ASP implementado</t>
  </si>
  <si>
    <t xml:space="preserve">Sin desarrollo. La solicitud de prórroga pide definir su tratamiento</t>
  </si>
  <si>
    <t xml:space="preserve">6.1.8</t>
  </si>
  <si>
    <t xml:space="preserve">Nuevo formulario de Reporte y Registro (construccion)</t>
  </si>
  <si>
    <t xml:space="preserve">Reporte y Registro operativos</t>
  </si>
  <si>
    <t xml:space="preserve">Registro V3 en testing desde el 14-oct (1a08a2c): Habeas Data, cabezote, 7 módulos con tamizaje, Gestión Salvia (remisión, entidades, barreras y alerta inminente) y cierre; QA con Playwright el 15-oct, 8 bugs corregidos (2c78f3b). Pendiente: nuevo caso sobre registro existente y actualizar caso, ajustes de UI de la supervisión, UAT y paso a main</t>
  </si>
  <si>
    <t xml:space="preserve">6.1.9</t>
  </si>
  <si>
    <t xml:space="preserve">Modulo Medidas de Emergencia: pantallas y flujo</t>
  </si>
  <si>
    <t xml:space="preserve">Pantallas de los mockups aprobados construidas</t>
  </si>
  <si>
    <t xml:space="preserve">Primeras pantallas de remisiones y detalle de remisión de Medidas en Jira (PSWYA-849 y 854, 22 y 23-oct) y flujo completo asignado en FigJam "Terminar Medidas" (Santiago y Juan, semanas 1 a 4)</t>
  </si>
  <si>
    <t xml:space="preserve">6.1.10</t>
  </si>
  <si>
    <t xml:space="preserve">Medidas de Emergencia: logica de medidas, entrega y seguimiento</t>
  </si>
  <si>
    <t xml:space="preserve">Logica de medidas y trazabilidad de entrega operativas</t>
  </si>
  <si>
    <t xml:space="preserve">Sin desarrollo según la solicitud de prórroga</t>
  </si>
  <si>
    <t xml:space="preserve">6.1.11</t>
  </si>
  <si>
    <t xml:space="preserve">Atencion Psicosocial: construccion y estabilizacion</t>
  </si>
  <si>
    <t xml:space="preserve">Modulo psicosocial operativo y estabilizado</t>
  </si>
  <si>
    <t xml:space="preserve">En producción desde septiembre; en testing (19 al 20-oct): indicador de atenciones realizadas y agendadas en detalle y remisiones, filtro por estado, nuevo seguimiento con autoasignación para rol an (e09fb2f), seguimiento desde la cita y filtro por dupla (b207846)</t>
  </si>
  <si>
    <t xml:space="preserve">6.1.12</t>
  </si>
  <si>
    <t xml:space="preserve">Rutas y gestion institucional: portal de entidades, mecanismos y directorio</t>
  </si>
  <si>
    <t xml:space="preserve">Rutas operativo en produccion</t>
  </si>
  <si>
    <t xml:space="preserve">En testing (20 al 22-oct): migración de las Alcaldías y de las 38 entidades de la hoja 4 del Formulario de Rutas con sus acciones institucionales (f921f35, 127ba07), DIVIPOLA por municipio (01246e8), sedes generadas desde el Directorio (cf53257), sede asignada al usuario entidad y cerrar sesión (11f0970), campo sucursal al crear usuario Alcaldía (597d246), Mis Tareas bloqueado para rol et (d873f7b) y estilos del detalle de caso entidad (7bb9d42)</t>
  </si>
  <si>
    <t xml:space="preserve">6.2</t>
  </si>
  <si>
    <t xml:space="preserve">Acompanamiento App MASP (Bolsa 2)</t>
  </si>
  <si>
    <t xml:space="preserve">Acompanamiento continuo a la construccion de la App</t>
  </si>
  <si>
    <t xml:space="preserve">6.2.1</t>
  </si>
  <si>
    <t xml:space="preserve">Despliegue: migracion a produccion (App)</t>
  </si>
  <si>
    <t xml:space="preserve">App migrada a entorno productivo</t>
  </si>
  <si>
    <t xml:space="preserve">La app apunta a salvia-colombia.co desde el 15-sep; el informe del 17-sep la reporta en Play Store</t>
  </si>
  <si>
    <t xml:space="preserve">6.2.2</t>
  </si>
  <si>
    <t xml:space="preserve">Soporte: activacion de mesa de ayuda</t>
  </si>
  <si>
    <t xml:space="preserve">Mesa de ayuda 24/7 activa</t>
  </si>
  <si>
    <t xml:space="preserve">Sin evidencia de mesa de ayuda activa; los hallazgos entran por Forms y bitácora</t>
  </si>
  <si>
    <t xml:space="preserve">6.2.3</t>
  </si>
  <si>
    <t xml:space="preserve">Ejecucion de pruebas unitarias y de carga (App)</t>
  </si>
  <si>
    <t xml:space="preserve">Pruebas unitarias y de carga de la App ejecutadas</t>
  </si>
  <si>
    <t xml:space="preserve">Sin evidencia</t>
  </si>
  <si>
    <t xml:space="preserve">6.2.4</t>
  </si>
  <si>
    <t xml:space="preserve">Setup de entornos y seguridad API (App MASP)</t>
  </si>
  <si>
    <t xml:space="preserve">Entornos y seguridad API configurados</t>
  </si>
  <si>
    <t xml:space="preserve">Firma de la app y dominio productivo configurados el 15-sep</t>
  </si>
  <si>
    <t xml:space="preserve">6.2.5</t>
  </si>
  <si>
    <t xml:space="preserve">Desarrollo de interfaz y logica de App Movil MASP</t>
  </si>
  <si>
    <t xml:space="preserve">Interfaz y logica de la App implementadas</t>
  </si>
  <si>
    <t xml:space="preserve">Contactos, Home, programas y ajustes visuales; directorio en desarrollo</t>
  </si>
  <si>
    <t xml:space="preserve">6.2.6</t>
  </si>
  <si>
    <t xml:space="preserve">Desarrollo backend - Boton de Panico Linea 155</t>
  </si>
  <si>
    <t xml:space="preserve">Backend de boton de panico operativo</t>
  </si>
  <si>
    <t xml:space="preserve">Informe 17-sep lo da por completado; el cronograma mantiene avance de botón de pánico en octubre</t>
  </si>
  <si>
    <t xml:space="preserve">6.2.7</t>
  </si>
  <si>
    <t xml:space="preserve">Integracion App - Boton de Panico Linea 155</t>
  </si>
  <si>
    <t xml:space="preserve">Integracion boton de panico con Linea 155</t>
  </si>
  <si>
    <t xml:space="preserve">Sincronización y bitácora en desarrollo; integración app-web prevista para octubre</t>
  </si>
  <si>
    <t xml:space="preserve">7</t>
  </si>
  <si>
    <t xml:space="preserve">OBL-07: PRUEBAS FUNCIONALES Y NO FUNCIONALES</t>
  </si>
  <si>
    <t xml:space="preserve">Escenarios de pruebas e informe de resultados con certificacion de la OTI o area funcional</t>
  </si>
  <si>
    <t xml:space="preserve">7.1</t>
  </si>
  <si>
    <t xml:space="preserve">Pruebas SALVIA Web (Bolsa 1)</t>
  </si>
  <si>
    <t xml:space="preserve">Plan de pruebas del sistema web ejecutado</t>
  </si>
  <si>
    <t xml:space="preserve">7.1.1</t>
  </si>
  <si>
    <t xml:space="preserve">Pruebas de Aceptacion de Usuario (UAT) con el Ministerio</t>
  </si>
  <si>
    <t xml:space="preserve">Acta de UAT aprobada</t>
  </si>
  <si>
    <t xml:space="preserve">La matriz de hallazgos de SALVIA (revisión Kreivo del 8-oct) da 107 de 159 hallazgos por cerrados. Mesas de hallazgos y Forms con SALVIA en marcha; UAT formal del alcance contractual sin iniciar</t>
  </si>
  <si>
    <t xml:space="preserve">7.1.2</t>
  </si>
  <si>
    <t xml:space="preserve">Transferencia de conocimiento y capacitacion inicial</t>
  </si>
  <si>
    <t xml:space="preserve">Sesiones de transferencia ejecutadas</t>
  </si>
  <si>
    <t xml:space="preserve">15 videos de uso de SALVIA Web (unos 58 minutos: Seguimiento, detalle y timeline del caso, 3x3, plan de contactos, Barreras, oficios, Notificaciones, Tareas, reasignación y reportes) más 2 videos de avance de Rutas (16 minutos), Mapa de navegación y consolidado de historias de usuario (48 págs.). Según el equipo (28-oct), la entidad los usa como material de capacitación masiva y en pruebas</t>
  </si>
  <si>
    <t xml:space="preserve">7.1.3</t>
  </si>
  <si>
    <t xml:space="preserve">Paso a produccion oficial SALVIA</t>
  </si>
  <si>
    <t xml:space="preserve">SALVIA Web en produccion</t>
  </si>
  <si>
    <t xml:space="preserve">64 cambios del corte 13-oct y 29 commits más (13 al 23-oct) integrados en testing (PR #117 a #132); main sigue sin cambios desde el 10-sep. Seguimiento, Barreras, Notificaciones, Tareas y Psicosocial en producción</t>
  </si>
  <si>
    <t xml:space="preserve">7.1.4</t>
  </si>
  <si>
    <t xml:space="preserve">API de sincronizacion SIVIGE (Minsalud)</t>
  </si>
  <si>
    <t xml:space="preserve">API SIVIGE certificada</t>
  </si>
  <si>
    <t xml:space="preserve">Depende de 5.1.4</t>
  </si>
  <si>
    <t xml:space="preserve">7.1.5</t>
  </si>
  <si>
    <t xml:space="preserve">QA unitarias, carga y vulnerabilidad (SALVIA Web)</t>
  </si>
  <si>
    <t xml:space="preserve">Informe de QA SALVIA Web</t>
  </si>
  <si>
    <t xml:space="preserve">QA de Rutas, primera iteración; plan de QA de Registro V3 ejecutado con Playwright (15-oct) y pruebas unitarias nuevas en migraciones, DIVIPOLA y estado de casos. Estrés y seguridad pendientes</t>
  </si>
  <si>
    <t xml:space="preserve">7.1.6</t>
  </si>
  <si>
    <t xml:space="preserve">Pruebas de Aceptacion de Usuario UAT (SALVIA Web)</t>
  </si>
  <si>
    <t xml:space="preserve">Acta UAT SALVIA Web</t>
  </si>
  <si>
    <t xml:space="preserve">Igual que 7.1.1: 107 de 159 hallazgos cerrados en la matriz de SALVIA; sin acta de UAT</t>
  </si>
  <si>
    <t xml:space="preserve">7.1.7</t>
  </si>
  <si>
    <t xml:space="preserve">Pruebas y aceptacion de Medidas de Emergencia</t>
  </si>
  <si>
    <t xml:space="preserve">Acta de pruebas de Medidas de Emergencia</t>
  </si>
  <si>
    <t xml:space="preserve">Depende de la construcción</t>
  </si>
  <si>
    <t xml:space="preserve">7.2</t>
  </si>
  <si>
    <t xml:space="preserve">Pruebas App MASP (Bolsa 2)</t>
  </si>
  <si>
    <t xml:space="preserve">Plan de pruebas de la App ejecutado</t>
  </si>
  <si>
    <t xml:space="preserve">7.2.1</t>
  </si>
  <si>
    <t xml:space="preserve">Ajustes Post-UAT y estabilizacion</t>
  </si>
  <si>
    <t xml:space="preserve">Version estabilizada post UAT</t>
  </si>
  <si>
    <t xml:space="preserve">El despliegue del 13-oct corrige hallazgos que la matriz de SALVIA aún marca abiertos o en proceso (hoja Despliegue_13oct)</t>
  </si>
  <si>
    <t xml:space="preserve">7.2.2</t>
  </si>
  <si>
    <t xml:space="preserve">Publicacion App MASP en stores</t>
  </si>
  <si>
    <t xml:space="preserve">App publicada en Play Store y App Store</t>
  </si>
  <si>
    <t xml:space="preserve">Play Store según informe del 17-sep; App Store sin evidencia</t>
  </si>
  <si>
    <t xml:space="preserve">7.2.3</t>
  </si>
  <si>
    <t xml:space="preserve">QA unitarias, estres y vulnerabilidad (App MASP)</t>
  </si>
  <si>
    <t xml:space="preserve">Informe de QA App MASP</t>
  </si>
  <si>
    <t xml:space="preserve">7.2.4</t>
  </si>
  <si>
    <t xml:space="preserve">Pruebas de Aceptacion de Usuario UAT (App MASP)</t>
  </si>
  <si>
    <t xml:space="preserve">Acta UAT App MASP</t>
  </si>
  <si>
    <t xml:space="preserve">8</t>
  </si>
  <si>
    <t xml:space="preserve">OBL-08: CONFIGURACION EN PRODUCCION</t>
  </si>
  <si>
    <t xml:space="preserve">Actas de acompanamiento, instalacion y configuracion de la version estable en produccion con evidencias</t>
  </si>
  <si>
    <t xml:space="preserve">8.1</t>
  </si>
  <si>
    <t xml:space="preserve">Configuracion productiva SALVIA Web (Bolsa 1)</t>
  </si>
  <si>
    <t xml:space="preserve">Entornos productivos SALVIA Web configurados</t>
  </si>
  <si>
    <t xml:space="preserve">8.1.1</t>
  </si>
  <si>
    <t xml:space="preserve">Migracion RedHat y recibo en produccion (SALVIA)</t>
  </si>
  <si>
    <t xml:space="preserve">Acta de recibo a satisfaccion SALVIA</t>
  </si>
  <si>
    <t xml:space="preserve">Recibo pendiente; sin evidencia de la migración a RedHat</t>
  </si>
  <si>
    <t xml:space="preserve">8.1.2</t>
  </si>
  <si>
    <t xml:space="preserve">Manuales y capacitaciones a funcionarios (SALVIA)</t>
  </si>
  <si>
    <t xml:space="preserve">Manuales y capacitaciones SALVIA entregadas</t>
  </si>
  <si>
    <t xml:space="preserve">15 videos de uso de SALVIA Web (unos 58 minutos: Seguimiento, detalle y timeline del caso, 3x3, plan de contactos, Barreras, oficios, Notificaciones, Tareas, reasignación y reportes) más 2 videos de avance de Rutas (16 minutos), Mapa de navegación y consolidado de historias de usuario (48 págs.); 9 manuales técnicos (15-oct) y plan de manuales de usuario (Brayan, semanas 1 a 8). La entidad los usa en capacitación (según el equipo, 28-oct)</t>
  </si>
  <si>
    <t xml:space="preserve">8.1.3</t>
  </si>
  <si>
    <t xml:space="preserve">Registro ante la DNDA (propiedad intelectual web)</t>
  </si>
  <si>
    <t xml:space="preserve">Registro DNDA tramitado</t>
  </si>
  <si>
    <t xml:space="preserve">Programado para el cierre</t>
  </si>
  <si>
    <t xml:space="preserve">8.2</t>
  </si>
  <si>
    <t xml:space="preserve">Configuracion productiva App MASP (Bolsa 2)</t>
  </si>
  <si>
    <t xml:space="preserve">Entornos productivos App MASP configurados</t>
  </si>
  <si>
    <t xml:space="preserve">8.2.1</t>
  </si>
  <si>
    <t xml:space="preserve">Despliegue de APIs a produccion (MASP)</t>
  </si>
  <si>
    <t xml:space="preserve">APIs MASP en produccion</t>
  </si>
  <si>
    <t xml:space="preserve">La app consume el dominio productivo; sin acta de despliegue</t>
  </si>
  <si>
    <t xml:space="preserve">8.2.2</t>
  </si>
  <si>
    <t xml:space="preserve">Manuales y videos de uso App (MASP)</t>
  </si>
  <si>
    <t xml:space="preserve">Manuales y videos App entregados</t>
  </si>
  <si>
    <t xml:space="preserve">Manual técnico de la App MASP en PDF (15-oct). Pendientes el manual de usuario y los videos de uso.</t>
  </si>
  <si>
    <t xml:space="preserve">8.2.3</t>
  </si>
  <si>
    <t xml:space="preserve">Publicacion oficial en Play Store / App Store</t>
  </si>
  <si>
    <t xml:space="preserve">App publicada oficialmente</t>
  </si>
  <si>
    <t xml:space="preserve">Igual que 7.2.2</t>
  </si>
  <si>
    <t xml:space="preserve">9</t>
  </si>
  <si>
    <t xml:space="preserve">OBL-09: RECIBO A SATISFACCION EN PRODUCCION</t>
  </si>
  <si>
    <t xml:space="preserve">Documento tecnico que certifique el recibo a satisfaccion por MinIgualdad del ambiente de produccion</t>
  </si>
  <si>
    <t xml:space="preserve">9.1</t>
  </si>
  <si>
    <t xml:space="preserve">Recibo productivo SALVIA Web (Bolsa 1)</t>
  </si>
  <si>
    <t xml:space="preserve">Acta de recibo a satisfaccion SALVIA Web</t>
  </si>
  <si>
    <t xml:space="preserve">9.1.1</t>
  </si>
  <si>
    <t xml:space="preserve">Validacion final de migracion RedHat y recibo (SALVIA)</t>
  </si>
  <si>
    <t xml:space="preserve">Evidencia de validacion final</t>
  </si>
  <si>
    <t xml:space="preserve">Recibo a satisfacción pendiente</t>
  </si>
  <si>
    <t xml:space="preserve">9.1.2</t>
  </si>
  <si>
    <t xml:space="preserve">Validacion final de manuales y capacitaciones (SALVIA)</t>
  </si>
  <si>
    <t xml:space="preserve">Evidencia de capacitaciones ejecutadas</t>
  </si>
  <si>
    <t xml:space="preserve">Según el equipo (28-oct), parte de los videos ya fue aceptada por la entidad para producción (Seguimiento, Barreras y Notificaciones). Sin acta de recibo; faltan los manuales de usuario</t>
  </si>
  <si>
    <t xml:space="preserve">9.1.3</t>
  </si>
  <si>
    <t xml:space="preserve">Validacion final del registro ante DNDA</t>
  </si>
  <si>
    <t xml:space="preserve">Evidencia del registro DNDA</t>
  </si>
  <si>
    <t xml:space="preserve">9.2</t>
  </si>
  <si>
    <t xml:space="preserve">Recibo productivo App MASP (Bolsa 2)</t>
  </si>
  <si>
    <t xml:space="preserve">Acta de recibo a satisfaccion App MASP</t>
  </si>
  <si>
    <t xml:space="preserve">9.2.1</t>
  </si>
  <si>
    <t xml:space="preserve">Validacion final de despliegue de APIs (MASP)</t>
  </si>
  <si>
    <t xml:space="preserve">Evidencia de despliegue productivo de APIs</t>
  </si>
  <si>
    <t xml:space="preserve">9.2.2</t>
  </si>
  <si>
    <t xml:space="preserve">Validacion final de manuales y videos de uso App</t>
  </si>
  <si>
    <t xml:space="preserve">Evidencia de manuales y videos</t>
  </si>
  <si>
    <t xml:space="preserve">9.2.3</t>
  </si>
  <si>
    <t xml:space="preserve">Validacion final de publicacion en tiendas</t>
  </si>
  <si>
    <t xml:space="preserve">Evidencia de publicacion en tiendas</t>
  </si>
  <si>
    <t xml:space="preserve">10</t>
  </si>
  <si>
    <t xml:space="preserve">OBL-10: REGISTRO ANTE DNDA (DERECHOS DE AUTOR)</t>
  </si>
  <si>
    <t xml:space="preserve">Documento oficial de la Direccion General de Derechos de Autor a nombre de MinIgualdad</t>
  </si>
  <si>
    <t xml:space="preserve">10.1</t>
  </si>
  <si>
    <t xml:space="preserve">Registro DNDA - SALVIA Web (Bolsa 1)</t>
  </si>
  <si>
    <t xml:space="preserve">Certificado DNDA SALVIA Web</t>
  </si>
  <si>
    <t xml:space="preserve">10.1.1</t>
  </si>
  <si>
    <t xml:space="preserve">Preparacion de documentacion tecnica para DNDA (Web)</t>
  </si>
  <si>
    <t xml:space="preserve">Documentacion tecnica compilada</t>
  </si>
  <si>
    <t xml:space="preserve">Previsto en la última semana del cronograma propuesto</t>
  </si>
  <si>
    <t xml:space="preserve">10.1.2</t>
  </si>
  <si>
    <t xml:space="preserve">Radicacion y seguimiento DNDA (Web)</t>
  </si>
  <si>
    <t xml:space="preserve">Radicado y seguimiento DNDA Web</t>
  </si>
  <si>
    <t xml:space="preserve">10.2</t>
  </si>
  <si>
    <t xml:space="preserve">Registro DNDA - App MASP (Bolsa 2)</t>
  </si>
  <si>
    <t xml:space="preserve">Certificado DNDA App MASP</t>
  </si>
  <si>
    <t xml:space="preserve">10.2.1</t>
  </si>
  <si>
    <t xml:space="preserve">Preparacion de documentacion tecnica para DNDA (App)</t>
  </si>
  <si>
    <t xml:space="preserve">Documentacion tecnica App compilada</t>
  </si>
  <si>
    <t xml:space="preserve">10.2.2</t>
  </si>
  <si>
    <t xml:space="preserve">Radicacion y seguimiento DNDA (App)</t>
  </si>
  <si>
    <t xml:space="preserve">Radicado y seguimiento DNDA App</t>
  </si>
  <si>
    <t xml:space="preserve">11</t>
  </si>
  <si>
    <t xml:space="preserve">OBL-11: REGISTRO APP EN TIENDAS (PLAY STORE / APP STORE)</t>
  </si>
  <si>
    <t xml:space="preserve">Documentos de compra de repositorios y certificacion de publicacion en tiendas a nombre de MinIgualdad</t>
  </si>
  <si>
    <t xml:space="preserve">11.1</t>
  </si>
  <si>
    <t xml:space="preserve">Gestion de cuentas y repositorios oficiales</t>
  </si>
  <si>
    <t xml:space="preserve">Cuentas oficiales de MinIgualdad creadas</t>
  </si>
  <si>
    <t xml:space="preserve">11.1.1</t>
  </si>
  <si>
    <t xml:space="preserve">Compra y configuracion de cuenta Play Store</t>
  </si>
  <si>
    <t xml:space="preserve">Cuenta Play Store a nombre de MinIgualdad</t>
  </si>
  <si>
    <t xml:space="preserve">La app se publica firmada; confirmar que la cuenta está a nombre de MinIgualdad</t>
  </si>
  <si>
    <t xml:space="preserve">11.1.2</t>
  </si>
  <si>
    <t xml:space="preserve">Compra y configuracion de cuenta App Store</t>
  </si>
  <si>
    <t xml:space="preserve">Cuenta App Store a nombre de MinIgualdad</t>
  </si>
  <si>
    <t xml:space="preserve">11.2</t>
  </si>
  <si>
    <t xml:space="preserve">Publicacion y certificacion en tiendas</t>
  </si>
  <si>
    <t xml:space="preserve">Certificaciones de publicacion emitidas</t>
  </si>
  <si>
    <t xml:space="preserve">11.2.1</t>
  </si>
  <si>
    <t xml:space="preserve">Publicacion oficial en Play Store</t>
  </si>
  <si>
    <t xml:space="preserve">App publicada y visible en Play Store</t>
  </si>
  <si>
    <t xml:space="preserve">Versión publicada según informe del 17-sep; falta la versión final</t>
  </si>
  <si>
    <t xml:space="preserve">11.2.2</t>
  </si>
  <si>
    <t xml:space="preserve">Publicacion oficial en App Store</t>
  </si>
  <si>
    <t xml:space="preserve">App publicada y visible en App Store</t>
  </si>
  <si>
    <t xml:space="preserve">12</t>
  </si>
  <si>
    <t xml:space="preserve">OBL-12: CAPACITACIONES Y APROPIACION</t>
  </si>
  <si>
    <t xml:space="preserve">Acta de entrega con plan de capacitacion (modulos, cronograma, metodologia) y listados de asistencia oficiales</t>
  </si>
  <si>
    <t xml:space="preserve">12.1</t>
  </si>
  <si>
    <t xml:space="preserve">Capacitaciones SALVIA Web (Bolsa 1)</t>
  </si>
  <si>
    <t xml:space="preserve">Sesiones de capacitacion SALVIA Web ejecutadas</t>
  </si>
  <si>
    <t xml:space="preserve">12.1.1</t>
  </si>
  <si>
    <t xml:space="preserve">Plan de capacitacion SALVIA Web</t>
  </si>
  <si>
    <t xml:space="preserve">Plan de capacitacion aprobado</t>
  </si>
  <si>
    <t xml:space="preserve">Red de Acción SALVIA por familias de roles y plan de documentación por módulo (11 documentos para Seguimiento, Reporte y Registro y Medidas, a cargo de Brayan; hoja Plan_Documentacion)</t>
  </si>
  <si>
    <t xml:space="preserve">12.1.2</t>
  </si>
  <si>
    <t xml:space="preserve">Capacitaciones masivas a Linea 155 y gestoras</t>
  </si>
  <si>
    <t xml:space="preserve">Listados de asistencia firmados</t>
  </si>
  <si>
    <t xml:space="preserve">Según el equipo (28-oct), la entidad usa los 15 videos de uso para capacitar a sus equipos, a satisfacción. Faltan las sesiones con Línea 155 y gestoras y los videos de Psicosocial, Rutas, Registro y Medidas</t>
  </si>
  <si>
    <t xml:space="preserve">12.1.3</t>
  </si>
  <si>
    <t xml:space="preserve">Encuestas de adopcion y apropiacion (Web)</t>
  </si>
  <si>
    <t xml:space="preserve">Resultados de encuestas de adopcion</t>
  </si>
  <si>
    <t xml:space="preserve">12.2</t>
  </si>
  <si>
    <t xml:space="preserve">Capacitaciones App MASP (Bolsa 2)</t>
  </si>
  <si>
    <t xml:space="preserve">Sesiones de capacitacion App MASP ejecutadas</t>
  </si>
  <si>
    <t xml:space="preserve">12.2.1</t>
  </si>
  <si>
    <t xml:space="preserve">Plan de capacitacion App MASP</t>
  </si>
  <si>
    <t xml:space="preserve">Plan de capacitacion App aprobado</t>
  </si>
  <si>
    <t xml:space="preserve">12.2.2</t>
  </si>
  <si>
    <t xml:space="preserve">Capacitaciones a usuarias y coordinadoras</t>
  </si>
  <si>
    <t xml:space="preserve">12.2.3</t>
  </si>
  <si>
    <t xml:space="preserve">Encuestas de adopcion y apropiacion (App)</t>
  </si>
  <si>
    <t xml:space="preserve">13</t>
  </si>
  <si>
    <t xml:space="preserve">OBL-13: GOBERNANZA CONTINUA - COMITES TECNICOS</t>
  </si>
  <si>
    <t xml:space="preserve">Comites tecnicos semanales, gestion de riesgos, reportes mensuales al Ministerio y Fiduagraria</t>
  </si>
  <si>
    <t xml:space="preserve">13.1</t>
  </si>
  <si>
    <t xml:space="preserve">Gobernanza SALVIA Web (Bolsa 1)</t>
  </si>
  <si>
    <t xml:space="preserve">Reportes y actas de la Bolsa 1</t>
  </si>
  <si>
    <t xml:space="preserve">13.1.1</t>
  </si>
  <si>
    <t xml:space="preserve">Comites tecnicos, gestion de riesgos y reportes (Bolsa 1)</t>
  </si>
  <si>
    <t xml:space="preserve">Actas de comite y matriz de riesgos actualizadas</t>
  </si>
  <si>
    <t xml:space="preserve">Comités y sesiones de revisión activos; informe de riesgos del 17-sep; bitácora de ajustes</t>
  </si>
  <si>
    <t xml:space="preserve">13.2</t>
  </si>
  <si>
    <t xml:space="preserve">Gobernanza App MASP (Bolsa 2)</t>
  </si>
  <si>
    <t xml:space="preserve">Reportes y actas de la Bolsa 2</t>
  </si>
  <si>
    <t xml:space="preserve">13.2.1</t>
  </si>
  <si>
    <t xml:space="preserve">Comites tecnicos, gestion de riesgos y reportes (Bolsa 2)</t>
  </si>
  <si>
    <t xml:space="preserve">Igual que 13.1.1</t>
  </si>
  <si>
    <t xml:space="preserve">M1</t>
  </si>
  <si>
    <t xml:space="preserve">M2</t>
  </si>
  <si>
    <t xml:space="preserve">M3</t>
  </si>
  <si>
    <t xml:space="preserve">M4</t>
  </si>
  <si>
    <t xml:space="preserve">M5</t>
  </si>
  <si>
    <t xml:space="preserve">APP</t>
  </si>
  <si>
    <t xml:space="preserve">H06</t>
  </si>
  <si>
    <t xml:space="preserve">H07</t>
  </si>
  <si>
    <t xml:space="preserve">H08</t>
  </si>
  <si>
    <t xml:space="preserve">H09</t>
  </si>
  <si>
    <t xml:space="preserve">H10</t>
  </si>
  <si>
    <t xml:space="preserve">H11</t>
  </si>
  <si>
    <t xml:space="preserve">ID_Hito</t>
  </si>
  <si>
    <t xml:space="preserve">Nombre_Hito</t>
  </si>
  <si>
    <t xml:space="preserve">Fecha_Ejecucion</t>
  </si>
  <si>
    <t xml:space="preserve">Resumen_Acta (Ficha Técnica)</t>
  </si>
  <si>
    <t xml:space="preserve">Responsable</t>
  </si>
  <si>
    <t xml:space="preserve">Avance_julio</t>
  </si>
  <si>
    <t xml:space="preserve">Fecha_Corte</t>
  </si>
  <si>
    <t xml:space="preserve">Avance_Entendimiento</t>
  </si>
  <si>
    <t xml:space="preserve">Avance_Construccion</t>
  </si>
  <si>
    <t xml:space="preserve">Grupo</t>
  </si>
  <si>
    <t xml:space="preserve">M1 · SEGUIMIENTO A LOS CASOS</t>
  </si>
  <si>
    <t xml:space="preserve">Corte 23-oct: en testing quedaron 29 commits más. Rutas y gestión institucional suma la migración de las Alcaldías y de 38 entidades con sus acciones institucionales, el DIVIPOLA y las sedes desde el Directorio, y corrige lo que la supervisión reportó del rol entidad (sede del usuario, cerrar sesión, Mis Tareas, estilos, sucursal). Psicosocial y Seguimiento suman indicador de atenciones, filtro por dupla y fechas sin bloqueo; el formulario de seguimiento V4 tiene prototipo y siembra en base. Avance: Seguimiento, Barreras, Notificaciones, Tareas y Atención Psicosocial están en producción; Rutas y gestión institucional está en pruebas. El equipo dejó listos 64 cambios para el próximo despliegue a main (corte 13-oct): Rutas y gestión institucional (Mis Acciones Institucionales, Casos Entidad y Mecanismo, checklist de obligaciones, catálogo de competencias y carga masiva del directorio), Atención Psicosocial (cierre y validación de remisiones, contacto inmediato, filtro por dupla) y Seguimiento (vencidos, zona horaria, reapertura por supervisor). Varios de estos cambios corrigen hallazgos que la matriz de SALVIA aún marcaba abiertos porque no se habían reportado como listos. Pendiente: desplegarlos y que SALVIA los valide en producción; Enlace Territorial se valida aparte.</t>
  </si>
  <si>
    <t xml:space="preserve">Brayan Marbello / Juan Buitrago</t>
  </si>
  <si>
    <t xml:space="preserve">Módulos contractuales (Anexo Técnico)</t>
  </si>
  <si>
    <t xml:space="preserve">M2 · TAMIZAJE DE FEMINICIDIO</t>
  </si>
  <si>
    <t xml:space="preserve">Corte 23-oct: el nuevo Registro V3 está construido en testing (14-oct), con tamizaje, Gestión Salvia, remisión, entidades, barreras y alerta inminente, y pasó QA de punta a punta con Playwright (15-oct, 8 bugs corregidos). Pendiente: nuevo caso sobre registro existente, actualizar caso, ajustes de UI de la supervisión, UAT y paso a main. Avance: Gestión del Conocimiento aprobó el mockup de Reportes, Registro y Alerta Inminente (según el equipo, 13-oct), que incluye el formulario completo del tamizaje de feminicidio con bifurcaciones OSIGD y pareja/no pareja, puntaje y alertas por nivel de riesgo. En producción operan la parametrización de tiempos, la clasificación alto/bajo y la asignación automática. Pendiente: confirmar los rangos del puntaje; el HTML del mockup ya está con el equipo de desarrollo y su paso al servidor de pruebas está prevista para finales de la semana del 13-oct o, a más tardar, a mediados de la semana del 20-oct. Nota: el trabajo del mockup no aparece completo en las horas reportadas; se registra como evidencia en la hoja Trabajo_sin_horas.</t>
  </si>
  <si>
    <t xml:space="preserve">Brayan Marbello</t>
  </si>
  <si>
    <t xml:space="preserve">M3 · MEDIDAS DE EMERGENCIA</t>
  </si>
  <si>
    <t xml:space="preserve">Avance: entendimiento documentado en 38 historias de usuario v1.0 (12 grupos, de la remisión a la conclusión, con Cruz Roja y riesgo inminente), que sirven de base al mockup de Medidas de Emergencia; el mockup aprobado de Reportes, Registro y Alerta Inminente ya incluye el formulario de alerta inminente. Pendiente: todo el desarrollo; matriz de campos, lógica de medidas y criterios de aceptación aprobados por el Ministerio. Riesgo: las historias de usuario no cubren familiares ni personas huérfanas (Ley 2530 de 2025). Octubre suma 42 h: 27 h del equipo en los Sprints 19 a 21 y 15 h de gerencia (validación de las historias de usuario y feedback del mockup). El equipo trabajó en las historias de usuario y mockups de Medidas y las primeras pantallas de remisiones de Medidas (PSWYA-849 y 854, en Jira del 22 al 23-oct), además de su adaptación al formulario de seguimiento V4.</t>
  </si>
  <si>
    <t xml:space="preserve">Por definir</t>
  </si>
  <si>
    <t xml:space="preserve">M4 · LGBTIQ+</t>
  </si>
  <si>
    <t xml:space="preserve">Corte 23-oct: las preguntas OSIGD quedaron construidas dentro del Registro V3 en testing. Avance: el mockup aprobado de Reportes, Registro y Alerta Inminente incluye las preguntas OSIGD y el tamizaje diferencial para población LGBTIQ+ dentro del mismo formulario, sin módulo aparte; secciones OSIGHN construidas en psicosocial el 17-sep. Pendiente: construir el MVP en registro y seguimiento; el HTML del mockup ya está con el equipo de desarrollo y su paso al servidor de pruebas está prevista para finales de la semana del 13-oct o, a más tardar, a mediados de la semana del 20-oct. Riesgo: la pregunta OSIGHN aparece hoy donde no corresponde (hallazgo PSI-24). Nota: el trabajo del mockup se registra como evidencia en la hoja Trabajo_sin_horas, sin sumar horas.</t>
  </si>
  <si>
    <t xml:space="preserve">M5 · ASP (MODULO WEB)</t>
  </si>
  <si>
    <t xml:space="preserve">Corte 23-oct: el formulario ASP de identificación de la víctima quedó construido dentro del Registro V3 en testing. Avance: el mockup aprobado de Reportes, Registro y Alerta Inminente incluye el formulario del módulo web ASP dentro del registro de la víctima. Pendiente: construcción del módulo web; el formulario de registro ya está con el equipo de desarrollo para pasar al servidor de pruebas. Decisión: la solicitud de prórroga del 22-sep pide a la Supervisión definir el tratamiento del desarrollo integral del módulo y su app. Riesgo: los lineamientos de la Dirección de Actividades Sexuales Pagas no se han recibido formalmente. Nota: el trabajo del mockup se registra como evidencia en la hoja Trabajo_sin_horas, sin sumar horas.</t>
  </si>
  <si>
    <t xml:space="preserve">Santiago Ramos / Juan Buitrago</t>
  </si>
  <si>
    <t xml:space="preserve">APP MOVIL MASP (M5)</t>
  </si>
  <si>
    <t xml:space="preserve">Avance: lista de contactos, Home, información de programas y rediseño visual (16-sep); la app apunta al dominio productivo y se subió una nueva versión Android el 23-sep; el informe del 17-sep reporta Seguridad y SOS en Play Store. Pendiente: directorio de entidades, sincronización y bitácora, integración con la Línea 155, App Store, QA y UAT. Decisión: la prórroga solo cubre cerrar lo ya desarrollado, sin pantallas nuevas.</t>
  </si>
  <si>
    <t xml:space="preserve">Santiago Ramos</t>
  </si>
  <si>
    <t xml:space="preserve">ARQUITECTURA EAV-DAG</t>
  </si>
  <si>
    <t xml:space="preserve">Avance: arquitectura EAV-DAG implementada y sosteniendo los módulos en producción. Pendiente: casos migrados con formularios vacíos o sin esquema de seguimiento (SEG-01 y SEG-02), que requieren script en producción. Riesgo: el mecanismo de interoperabilidad con SIVIGE sigue sin definición técnica.</t>
  </si>
  <si>
    <t xml:space="preserve">Andres Posada / Andres Ascencio</t>
  </si>
  <si>
    <t xml:space="preserve">Hitos transversales</t>
  </si>
  <si>
    <t xml:space="preserve">GOBERNANZA Y GESTION DEL PROYECTO</t>
  </si>
  <si>
    <t xml:space="preserve">Avance: solicitud de prórroga hasta el 15-dic radicada el 22-sep, con informe de alcance y riesgos del 17-sep; bitácora de ajustes con 112 ítems, sesiones de revisión con SALVIA y formulario de hallazgos en uso; 3.924 de 5.396 horas ejecutadas a agosto (72,7 %). Pendiente: decisión de la Supervisión sobre la prórroga y el tratamiento de ASP, control de cambios para los nuevos requerimientos y cronograma actualizado. Riesgo: el plazo vigente vence el 26-oct.</t>
  </si>
  <si>
    <t xml:space="preserve">Andres Posada</t>
  </si>
  <si>
    <t xml:space="preserve">QA Y PRUEBAS</t>
  </si>
  <si>
    <t xml:space="preserve">Corte 23-oct: plan de QA de Registro V3 ejecutado con Playwright (25 casos, 8 bugs corregidos) y pruebas unitarias nuevas en migraciones y estados de caso. Avance: la matriz de hallazgos de SALVIA, con revisión de Kreivo del 8-oct, da por cerrados 107 de 159 hallazgos (29 de 43 en Seguimiento y 78 de 104 en Psicosocial); Rutas sigue con 11 de 12 abiertos desde el 8-sep, aunque el despliegue del 13-oct atiende varios. Pendiente: UAT formal, pruebas de estrés, seguridad y accesibilidad; QA y UAT de la app. Riesgo: las pruebas de punta a punta de Rutas dependen de usuarios y datos de prueba (RUT-17).</t>
  </si>
  <si>
    <t xml:space="preserve">DESPLIEGUE EN PRODUCCION</t>
  </si>
  <si>
    <t xml:space="preserve">Corte 23-oct: testing integra los 64 cambios del 13-oct y 29 commits más (PR #117 a #132); main sigue sin cambios desde el 10-sep, así que el despliegue a producción sigue pendiente. Avance: 64 cambios listos para subir a main en el próximo despliegue (corte 13-oct), con lo que se cierra la brecha de main sin cambios desde el 10-sep. En producción: Seguimiento, Barreras, Notificaciones, Tareas y Psicosocial; app Android publicada. Pendiente: ejecutar el despliegue, pasar Rutas a producción con regresión sobre Seguimiento y validar Enlace Territorial, que va aparte. Riesgo: desplegar 64 cambios juntos exige una ventana con respaldo y una ronda de validación con SALVIA.</t>
  </si>
  <si>
    <t xml:space="preserve">Camilo Arias</t>
  </si>
  <si>
    <t xml:space="preserve">TRANSFERENCIA DE CONOCIMIENTO</t>
  </si>
  <si>
    <t xml:space="preserve">Corte 28-oct: la entidad usa los 15 videos de uso como material de capacitación masiva, a satisfacción, y aceptó parte de ellos para producción (según el equipo). Avance: 15 videos de uso de SALVIA Web (Seguimiento, Barreras y Notificaciones), Mapa de navegación y consolidado de historias de usuario, compartidos con la entidad en agosto; 9 manuales técnicos en PDF (8 de SALVIA Web y 1 de la App MASP) y la Red de acción SALVIA, publicada en el tablero de hitos (19-oct). Pendiente: videos y manuales de usuario de Psicosocial, Medidas, Rutas y Registro, videos de uso de la App, plan de capacitación aprobado, capacitaciones y su validación por SALVIA. Riesgo: 33 de los 100 hallazgos abiertos se resuelven con proceso o entendimiento, lo que indica que la capacitación no debería esperar al final.</t>
  </si>
  <si>
    <t xml:space="preserve">Andres Ascencio / Brayan Marbello</t>
  </si>
  <si>
    <t xml:space="preserve">ENTREGA CONTRACTUAL Y DERECHOS DE AUTOR</t>
  </si>
  <si>
    <t xml:space="preserve">Avance: sin inicio. Pendiente: registro ante la DNDA, publicación final en tiendas y entrega del código fuente; el cronograma propuesto los ubica del 7 al 15-dic. Riesgo: con el plazo vigente al 26-oct no hay ventana para estas actividades si la prórroga no se aprueba.</t>
  </si>
  <si>
    <t xml:space="preserve">No.</t>
  </si>
  <si>
    <t xml:space="preserve">HITO</t>
  </si>
  <si>
    <t xml:space="preserve">FECHA</t>
  </si>
  <si>
    <t xml:space="preserve">ID_ANTERIOR</t>
  </si>
  <si>
    <t xml:space="preserve">Modulo 1 del Anexo Tecnico. Control y seguimiento de casos por la Linea 155, identificacion de barreras en la ruta de atencion, comunicaciones con entidades y cierre de casos. Incluye Rutas y Barreras y Atencion Psicosocial</t>
  </si>
  <si>
    <t xml:space="preserve">H01</t>
  </si>
  <si>
    <t xml:space="preserve">Modulo 2 del Anexo Tecnico. Valoracion inicial estructurada del nivel de riesgo de feminicidio con criterios tecnicos estandarizados</t>
  </si>
  <si>
    <t xml:space="preserve">H02</t>
  </si>
  <si>
    <t xml:space="preserve">Modulo 3 del Anexo Tecnico. Registro y valoracion estructurada de necesidades de personas en riesgo de feminicidio y de familiares de victimas, para priorizar casos y gestionar intervenciones</t>
  </si>
  <si>
    <t xml:space="preserve">Nuevo</t>
  </si>
  <si>
    <t xml:space="preserve">Modulo 4 del Anexo Tecnico. Profundizar en particularidades, necesidades diferenciadas y abordaje especializado de casos LGBTIQ+ o de violencia por prejuicio</t>
  </si>
  <si>
    <t xml:space="preserve">H04</t>
  </si>
  <si>
    <t xml:space="preserve">Modulo 5 del Anexo Tecnico. Caracterizacion ampliada de personas en actividades sexuales pagas dentro de SALVIA</t>
  </si>
  <si>
    <t xml:space="preserve">H03</t>
  </si>
  <si>
    <t xml:space="preserve">Modulo 5 del Anexo Tecnico. Aplicacion movil para prevencion de violencias en actividades sexuales pagas, con orientacion, rutas de atencion y reporte seguro</t>
  </si>
  <si>
    <t xml:space="preserve">H05</t>
  </si>
  <si>
    <t xml:space="preserve">Nueva arquitectura de datos EAV-DAG implementada, scripts de migracion desde el modelo SOG y diccionario de datos entregado</t>
  </si>
  <si>
    <t xml:space="preserve">Plan de gestion del proyecto, matriz de riesgos, comites tecnicos semanales, reportes mensuales y gestion del cambio ejecutados durante todo el contrato</t>
  </si>
  <si>
    <t xml:space="preserve">Escenarios de prueba ejecutados: pruebas unitarias, de carga, vulnerabilidad y UAT para SALVIA Web y App MASP con certificacion de la OTI</t>
  </si>
  <si>
    <t xml:space="preserve">Migracion, despliegue de APIs y paso a produccion oficial de SALVIA Web y App MASP con recibo a satisfaccion del Ministerio</t>
  </si>
  <si>
    <t xml:space="preserve">Manuales de usuario, videos de uso, capacitaciones a funcionarios y listados de asistencia oficiales entregados</t>
  </si>
  <si>
    <t xml:space="preserve">Registro ante DNDA, publicacion oficial en tiendas (Play Store y App Store) y cesion formal del codigo fuente al Ministerio de Igualdad</t>
  </si>
  <si>
    <t xml:space="preserve">Mes</t>
  </si>
  <si>
    <t xml:space="preserve">Etiqueta</t>
  </si>
  <si>
    <t xml:space="preserve">Horas_B1</t>
  </si>
  <si>
    <t xml:space="preserve">Horas_B2</t>
  </si>
  <si>
    <t xml:space="preserve">Aspectos_relevantes</t>
  </si>
  <si>
    <t xml:space="preserve">Nota</t>
  </si>
  <si>
    <t xml:space="preserve">2026-02</t>
  </si>
  <si>
    <t xml:space="preserve">Feb 2026</t>
  </si>
  <si>
    <t xml:space="preserve">Arranque: entendimiento del sistema heredado, auditoría del código y diagnóstico de mejoras urgentes de seguridad.
Mockup inicial y primeras historias de usuario del Módulo 1 de Seguimiento.
Hojas de vida del equipo entregadas; Gantt y herramienta de control de horas diseñados.</t>
  </si>
  <si>
    <t xml:space="preserve">2026-03</t>
  </si>
  <si>
    <t xml:space="preserve">Mar 2026</t>
  </si>
  <si>
    <t xml:space="preserve">Arquitectura EAV-DAG diseñada y adoptada para formularios dinámicos sin alterar el esquema relacional.
Requerimientos e historias de usuario de Seguimiento y mapeo del instrumento Kobo/155 al diccionario de datos.
Plan de Trabajo v1.0 entregado y cinco mesas técnicas con SALVIA.</t>
  </si>
  <si>
    <t xml:space="preserve">2026-04</t>
  </si>
  <si>
    <t xml:space="preserve">Abr 2026</t>
  </si>
  <si>
    <t xml:space="preserve">Primera construcción full-stack de Seguimiento: detalle del caso, timeline, reasignaciones y reporte unificado en Excel.
Levantamiento y mockups de Barreras aprobados.
Ambiente temporal con CI/CD mientras llegaba el servidor oficial del Ministerio.
Primeras 38 horas de la Bolsa 2: requerimientos y flujos de la App MASP.</t>
  </si>
  <si>
    <t xml:space="preserve">2026-05</t>
  </si>
  <si>
    <t xml:space="preserve">May 2026</t>
  </si>
  <si>
    <t xml:space="preserve">Despliegue en el ambiente de pruebas del Ministerio con CI/CD automatizado.
Construcción de Barreras, Notificaciones, Oficios, Tareas, protocolo 3x3 y formulario de cierre.
139 horas de QA y pruebas piloto presenciales con usuarios reales.
App firmada y enviada a publicación en Google Play.</t>
  </si>
  <si>
    <t xml:space="preserve">2026-06</t>
  </si>
  <si>
    <t xml:space="preserve">Jun 2026</t>
  </si>
  <si>
    <t xml:space="preserve">Salida a producción oficial del módulo de Seguimiento y del Dashboard de KPIs de cinco niveles.
Migración de la infraestructura a servidores Linux en AWS y PostgreSQL en RDS, con dominios salvia-colombia.co.
Migración de casos activos de riesgo alto y bajo, manual de usuario y primeras capacitaciones presenciales.
Nombre identitario (enfoque LGBTIQ+) aplicado en todo el portal.</t>
  </si>
  <si>
    <t xml:space="preserve">2026-07</t>
  </si>
  <si>
    <t xml:space="preserve">Jul 2026</t>
  </si>
  <si>
    <t xml:space="preserve">Barreras y Notificaciones pasan a producción (9-jul).
Construcción del módulo de Atención Psicosocial y del portal de entidades externas.
Medidas de Emergencia se pausa por decisión ejecutiva del 6-jul para priorizar Barreras, Rutas y Psicosocial.
Solicitud de modificación contractual de horas radicada el 23-jul; la Bolsa 2 registra 471,5 horas en el mes.</t>
  </si>
  <si>
    <t xml:space="preserve">2026-08</t>
  </si>
  <si>
    <t xml:space="preserve">Ago 2026</t>
  </si>
  <si>
    <t xml:space="preserve">Actualización de los cuatro formularios de seguimiento y reasignación masiva de unos 3.000 casos.
Primera iteración completa de QA del módulo de Atención Psicosocial.
Flujos de Rutas y Decisiones del Comité construidos.
Matrices de hallazgos unificadas; mapa mental y Gantt de cierre por módulo.</t>
  </si>
  <si>
    <t xml:space="preserve">2026-09</t>
  </si>
  <si>
    <t xml:space="preserve">Sep 2026</t>
  </si>
  <si>
    <t xml:space="preserve">Atención Psicosocial migrada a producción.
Flujo ciudadano Reportar Aquí y Gestión de Reportes construidos.
Rutas pasa a pruebas: Mis Acciones Institucionales, Casos Mecanismo y carga masiva de entidades.
Acumulado de 4.310,5 horas (79,9 % del contrato) y bitácora única de hallazgos con SALVIA.</t>
  </si>
  <si>
    <t xml:space="preserve">2026-10</t>
  </si>
  <si>
    <t xml:space="preserve">Oct 2026 · corte 23-oct</t>
  </si>
  <si>
    <t xml:space="preserve">Registro V3 construido en testing con QA en Playwright; migración de Alcaldías y 38 entidades con acciones institucionales para el rol entidad.
Gestión del Conocimiento aprobó el mockup de Reportes, Registro y Alerta Inminente, que incluye los formularios de tamizaje, LGBTIQ+ y ASP; el HTML ya está con el equipo de desarrollo y su paso al servidor de pruebas está prevista para finales de la semana del 13-oct o, a más tardar, a mediados de la semana del 20-oct.
64 cambios listos para el próximo despliegue a main (corte 13-oct), varios de ellos hallazgos que el equipo no había reportado como resueltos.
La matriz de hallazgos de SALVIA da por cerrados 107 de 159 (revisión Kreivo del 8-oct).
Solicitud de prórroga hasta el 15-dic radicada el 22-sep, pendiente de decisión.
Entendimiento de Reporte y Registro (mockup del 27-sep) y de Medidas de Emergencia (38 historias de usuario).</t>
  </si>
  <si>
    <t xml:space="preserve">Corte de avance al 23-oct; incluye los 64 cambios del 13-oct y 29 commits más, todos en testing y aún no desplegados en main ni validados por SALVIA. Horas de octubre: 468.5 h (288.5 h de los Sprints 19 a 21 validadas con Jira y 180 h de gerencia de Andrés Posada del informe INF-SGC-09, que no están en Jira). Las horas del equipo van a Bolsa 1 y las de gerencia a Bolsa 2, por decisión de la gerencia con la discrecionalidad otorgada para usar las bolsas.</t>
  </si>
  <si>
    <t xml:space="preserve">Resumen</t>
  </si>
  <si>
    <t xml:space="preserve">Avance: levantamiento de flujos de proceso enviados por el Ministerio, borrador SRS del Módulo 1 de Seguimiento e integración inicial de Historias de Usuario en el Mockup Dashboard. Pendiente: definición de nuevas tablas relacionales y desarrollo de pantallas operativas. Arquitectura: auditoría del código heredado y levantamiento del diccionario de datos inicial.</t>
  </si>
  <si>
    <t xml:space="preserve">Avance: redacción de historia de usuario inicial para unificación multicanal de reportes y valoración de riesgo por el Agente Integral. Pendiente: mapeo completo del instrumento Kobo/155 y construcción del motor de reglas.</t>
  </si>
  <si>
    <t xml:space="preserve">Avance: auditoría técnica del código fuente heredado, diccionario de datos, atributos de tablas, guía de instalación local y diagnóstico de mejoras urgentes de seguridad. Riesgo: alta deuda técnica y acoplamiento en el sistema heredado.</t>
  </si>
  <si>
    <t xml:space="preserve">Avance: entrega y validación de hojas de vida del equipo, diseño del Gantt y herramienta de control de horas conectada al Dashboard; 191 horas ejecutadas en Bolsa 1 (100% del mes).</t>
  </si>
  <si>
    <t xml:space="preserve">Avance: levantamiento de requerimientos funcionales y 79 horas de redacción de Historias de Usuario de Seguimiento ancladas a Figma; simulación funcional v4.1 con formulario Kobo y revisión del código actual del módulo. Pendiente: construcción de pantallas Vue y endpoints en Go.</t>
  </si>
  <si>
    <t xml:space="preserve">Avance: mapeo completo de las preguntas del instrumento actual (Kobo/155) hacia el diccionario de datos (DICCIONARIO_GAD) y definición de reglas de valoración de riesgo Extremo/Alto vs. Moderado/Bajo. Pendiente: implementación del motor DAG en base de datos.</t>
  </si>
  <si>
    <t xml:space="preserve">Avance: diseño formal de la arquitectura EAV-DAG, propuesta de saneamiento de deuda técnica, revisión de backups y puesta en marcha de la capa DAO y modelos en Go. Decisión: adopción del modelo EAV-DAG sobre tabla pivote para soportar formularios dinámicos sin alterar el esquema relacional.</t>
  </si>
  <si>
    <t xml:space="preserve">Avance: entrega del Plan de Trabajo v1.0, cronograma Gantt con KPIs por obligación y actas de mesas técnicas de marzo; 785 horas acumuladas a marzo (14,5 % del contrato).</t>
  </si>
  <si>
    <t xml:space="preserve">Avance: construcción full-stack (Go/GORM + Vue 3) de Detalle del Caso, Detalle de Seguimiento, Mis Seguimientos del Día, Timeline, Reasignaciones y Reporte Unificado Excel (V1+V2); levantamiento y mockups del módulo de Barreras aprobados. Pendiente: pruebas integrales en el servidor oficial del Ministerio.</t>
  </si>
  <si>
    <t xml:space="preserve">Avance: construcción del motor DAG que procesa el árbol de decisiones del tamizaje y visualización del nivel de riesgo en el detalle del caso. Pendiente: integración con los nuevos formularios dinámicos de seguimiento.</t>
  </si>
  <si>
    <t xml:space="preserve">Avance: 38 horas ejecutadas en Bolsa 2; levantamiento de requerimientos y flujos de navegación con el equipo ASP, diseño de interfaz en Figma y definición de integración con el Core SALVIA. Pendiente: compilación y firma de la primera versión para Google Play Store.</t>
  </si>
  <si>
    <t xml:space="preserve">Avance: cimientos EAV-DAG y MDM construidos en backend con GORM, migración de estructuras ERD-SOG a ERD-Kreivo y montaje de ambiente temporal con CI/CD en Render + PostgreSQL para no bloquear el desarrollo.</t>
  </si>
  <si>
    <t xml:space="preserve">Avance: construcción y despliegue en GitHub del Dashboard interactivo de seguimiento de tareas e hitos; 511 horas ejecutadas en abril (473 h Bolsa 1 y 38 h Bolsa 2), acumulando 1.296 horas.</t>
  </si>
  <si>
    <t xml:space="preserve">Avance: despliegue en ambiente de pruebas del Ministerio (pruebassalvia.minigualdadyequidad.gov.co) con pipeline CI/CD automatizado; construcción de Mis Barreras, Detalle de Barrera, Notificaciones, Oficios, Tareas (CaseTask), protocolo 3x3 y formulario de cierre de caso; pruebas piloto presenciales con usuarios reales ejecutadas. Pendiente: migración de casos históricos y salida a producción.</t>
  </si>
  <si>
    <t xml:space="preserve">Avance: levantamiento inicial del flujo causa-evento de Medidas de Emergencia, generación de diagramas de proceso (.mmd) y definición de reglas de prioridad de Medidas de Emergencia sobre Atención Psicosocial. Pendiente: definición detallada de historias de usuario y mockups con el Ministerio.</t>
  </si>
  <si>
    <t xml:space="preserve">Avance: desarrollo de pantallas informativas y Home ASP, proceso de firmado criptográfico con llaves de producción, resolución de observaciones de revisión y envío a publicación en Google Play Store.</t>
  </si>
  <si>
    <t xml:space="preserve">Avance: 139 horas de QA en mayo; diseño y ejecución de Test Cases transversales (creación a cierre de caso), pruebas piloto presenciales con agentes del Ministerio y cierre de bugs de zona horaria, concurrencia y formularios dinámicos.</t>
  </si>
  <si>
    <t xml:space="preserve">Avance: salida a producción oficial del módulo de Seguimiento, Mis Casos, Mis Barreras, Tareas, Oficios y Dashboard de KPIs de 5 niveles; migración de casos activos de riesgo alto y bajo desde Excel ejecutada; inicio de entendimiento y mockups de Atención Psicosocial. Pendiente: migración de casos cerrados históricos y ajustes post-despliegue.</t>
  </si>
  <si>
    <t xml:space="preserve">Avance: implementación transversal en todas las pantallas del portal (listas, detalle, seguimientos y oficios) del nombre identitario de la víctima en reemplazo del nombre de nacimiento.</t>
  </si>
  <si>
    <t xml:space="preserve">Avance: migración completa de la infraestructura productiva a servidores Linux en AWS y PostgreSQL en Amazon RDS bajo los dominios salvia-colombia.co y pruebas.salvia-colombia.co con certificados SSL/TLS y esquema de backups.</t>
  </si>
  <si>
    <t xml:space="preserve">Avance: elaboración del manual de usuario ilustrado del módulo de Seguimientos y ejecución de las primeras sesiones de capacitación presencial con los agentes del programa.</t>
  </si>
  <si>
    <t xml:space="preserve">Avance: despliegue a producción de Barreras y Notificaciones; construcción completa del módulo de Atención Psicosocial (remisiones, duplas, calendario, sesiones y protocolo 3x3); construcción del Directorio de Entidades con mapa y portal para Entidades Externas; migración de casos cerrados históricos y descarga de Excel consolidado de seguimientos. Riesgo: se identificó brecha arquitectónica para soportar múltiples casos por una misma víctima (estimada en ~205 h).</t>
  </si>
  <si>
    <t xml:space="preserve">Decisión: tras reunión ejecutiva del 6-jul con la dirección del proyecto, se ordenó pausar temporalmente Medidas de Emergencia para priorizar la salida en vivo de Barreras, Notificaciones, Atención Psicosocial y Rutas.</t>
  </si>
  <si>
    <t xml:space="preserve">Avance: radicación de la Solicitud de Modificación Contractual (23-jul) y actualización integral del documento de Historias de Usuario; 761,5 horas ejecutadas en julio (290 h Bolsa 1 y 471,5 h Bolsa 2), acumulando 3.280 horas.</t>
  </si>
  <si>
    <t xml:space="preserve">Avance: paso a producción de Barreras y Notificaciones (9-jul) y despliegue del portal informativo WordPress 7.0.1 (info.salvia-colombia.co) en AWS EC2 con hardening completo (WAF ModSecurity, OWASP CRS y fail2ban).</t>
  </si>
  <si>
    <t xml:space="preserve">Avance: actualización de los 4 formularios de seguimiento (incluyendo Conclusión del ciclo de atención y variables de Salvia Dignidad), botón de seguimiento inmediato sin agendamiento previo, bandeja consolidada de tareas del agente, reasignación masiva por lote de ~3.000 casos y optimización de memoria para descargas mensuales completas; primera iteración completa de QA de Atención Psicosocial ejecutada y flujos de Rutas/Decisiones del Comité construidos. Pendiente: despliegue final de Rutas y Mecanismos Articuladores.</t>
  </si>
  <si>
    <t xml:space="preserve">Avance: consolidación de las matrices de hallazgos en un único tablero, entrega del mapa mental general y Gantt de cierre por módulo; 628 horas ejecutadas en agosto (320 h Bolsa 1 y 308 h Bolsa 2), alcanzando un acumulado de 3.908 horas en hojas mensuales (3.909 h con enero).</t>
  </si>
  <si>
    <t xml:space="preserve">Avance: 135 horas de QA formal en agosto (60 h Bolsa 1 y 75 h Bolsa 2); ejecución del ciclo completo de pruebas del módulo de Atención Psicosocial, establecimiento de política de control previo a los despliegues de los miércoles y ronda de cierre de issues en estado In Review.</t>
  </si>
  <si>
    <t xml:space="preserve">Avance: migración en producción de formularios y casos de Atención Psicosocial; construcción del flujo ciudadano "Reportar Aquí" y "Gestión de Reportes" con protocolo 3x3 propio; construcción de pantallas de Rutas (Mis Acciones Institucionales, Casos Mecanismo, Agente Departamental y carga masiva de entidades) y paso de Rutas a pruebas. Pendiente: cerrar hallazgos abiertos en la bitácora unificada con SALVIA. Riesgo: asegurar la sincronización de commits de finales de septiembre hacia la rama main productiva.</t>
  </si>
  <si>
    <t xml:space="preserve">Avance: construcción e incorporación de la pregunta de identificación OSIGHN y sus secciones diferenciales al inicio de los 4 formularios del proceso de Atención Psicosocial (Primer Contacto, Primera Atención, Seguimientos y Conclusión).</t>
  </si>
  <si>
    <t xml:space="preserve">Avance: consolidación de la bitácora única de hallazgos con SALVIA y valoración de alcance MVP; 402,5 horas ejecutadas en septiembre (184,5 h Bolsa 1 y 218 h Bolsa 2), acumulando 4.310,5 horas ejecutadas de las 5.396 horas del contrato (79,88 %).</t>
  </si>
  <si>
    <t xml:space="preserve">Avance: primera iteración formal de QA del módulo de Rutas (flujograma y ejecución manual), pruebas del Directorio de Entidades, rondas de QA de los Sprints 13 y 14 y entrega de matriz de usuarios de prueba por rol a SALVIA.</t>
  </si>
  <si>
    <t xml:space="preserve">Avance: 15 videos de uso de SALVIA Web (Seguimiento, Barreras y Notificaciones), el Mapa de navegación de SALVIA y el consolidado de historias de usuario, compartidos con la entidad en el cobro de agosto.</t>
  </si>
  <si>
    <t xml:space="preserve">Task ID</t>
  </si>
  <si>
    <t xml:space="preserve">Nombre_tarea</t>
  </si>
  <si>
    <t xml:space="preserve">Item_EDT</t>
  </si>
  <si>
    <t xml:space="preserve">Observacion</t>
  </si>
  <si>
    <t xml:space="preserve">T-101</t>
  </si>
  <si>
    <t xml:space="preserve">Documentación y Metodología (SALVIA Web)</t>
  </si>
  <si>
    <t xml:space="preserve">T-102</t>
  </si>
  <si>
    <t xml:space="preserve">Documentación y Metodología (App MASP)</t>
  </si>
  <si>
    <t xml:space="preserve">T-103</t>
  </si>
  <si>
    <t xml:space="preserve">Historias de Usuario Actuales</t>
  </si>
  <si>
    <t xml:space="preserve">T-104</t>
  </si>
  <si>
    <t xml:space="preserve">Arquitectura Actual</t>
  </si>
  <si>
    <t xml:space="preserve">T-201</t>
  </si>
  <si>
    <t xml:space="preserve">Presentación, Aprobación y Uso de Mockup Kreivo-Salvia</t>
  </si>
  <si>
    <t xml:space="preserve">T-202</t>
  </si>
  <si>
    <t xml:space="preserve">T-203</t>
  </si>
  <si>
    <t xml:space="preserve">Módulo Web ASP: Variables de Riesgo</t>
  </si>
  <si>
    <t xml:space="preserve">T-204</t>
  </si>
  <si>
    <t xml:space="preserve">App MASP: Diseño de interfaz segura</t>
  </si>
  <si>
    <t xml:space="preserve">T-205</t>
  </si>
  <si>
    <t xml:space="preserve">App MASP: Alertas y Push Notifications</t>
  </si>
  <si>
    <t xml:space="preserve">T-206</t>
  </si>
  <si>
    <t xml:space="preserve">App MASP: Integración con Core SALVIA</t>
  </si>
  <si>
    <t xml:space="preserve">T-207</t>
  </si>
  <si>
    <t xml:space="preserve">Gantt Plan de trabajo Kreivo-Salvia</t>
  </si>
  <si>
    <t xml:space="preserve">T-301</t>
  </si>
  <si>
    <t xml:space="preserve">Diseño y Lógica: Landing Page, Login y Captcha</t>
  </si>
  <si>
    <t xml:space="preserve">T-302</t>
  </si>
  <si>
    <t xml:space="preserve">Lógica y Árbol de Decisión: Módulo de Tamizaje</t>
  </si>
  <si>
    <t xml:space="preserve">T-303</t>
  </si>
  <si>
    <t xml:space="preserve">Refinamiento UX: Dashboard y Trazabilidad de Casos</t>
  </si>
  <si>
    <t xml:space="preserve">T-304</t>
  </si>
  <si>
    <t xml:space="preserve">Diseño de Flujos y UI: App Móvil MASP</t>
  </si>
  <si>
    <t xml:space="preserve">T-305</t>
  </si>
  <si>
    <t xml:space="preserve">Aprobación de Arquitectura e Interoperabilidad</t>
  </si>
  <si>
    <t xml:space="preserve">T-401</t>
  </si>
  <si>
    <t xml:space="preserve">T-402</t>
  </si>
  <si>
    <t xml:space="preserve">Casos de uso - Historias de Usuario</t>
  </si>
  <si>
    <t xml:space="preserve">T-403</t>
  </si>
  <si>
    <t xml:space="preserve">Diagramas - Figma y Diccionario de datos</t>
  </si>
  <si>
    <t xml:space="preserve">T-404</t>
  </si>
  <si>
    <t xml:space="preserve">Diagramas - Figma y Diccionario de datos (Bolsa 2)</t>
  </si>
  <si>
    <t xml:space="preserve">En TimeLogs se usó sobre todo para coordinación de sprints (Bolsa 2)</t>
  </si>
  <si>
    <t xml:space="preserve">T-405</t>
  </si>
  <si>
    <t xml:space="preserve">Actas de mesas técnicas</t>
  </si>
  <si>
    <t xml:space="preserve">T-406</t>
  </si>
  <si>
    <t xml:space="preserve">Historias de Usuario - Anclado a Figma</t>
  </si>
  <si>
    <t xml:space="preserve">T-407</t>
  </si>
  <si>
    <t xml:space="preserve">Kobo a Zenkit</t>
  </si>
  <si>
    <t xml:space="preserve">T-408</t>
  </si>
  <si>
    <t xml:space="preserve">Integración Data SOG hacia EAV-DAG</t>
  </si>
  <si>
    <t xml:space="preserve">T-501</t>
  </si>
  <si>
    <t xml:space="preserve">Sprint 1: Setup Entornos, BD y Seguridad</t>
  </si>
  <si>
    <t xml:space="preserve">T-502</t>
  </si>
  <si>
    <t xml:space="preserve">Sprint 2: Módulos de Registro y Motor de Tamizaje</t>
  </si>
  <si>
    <t xml:space="preserve">T-503</t>
  </si>
  <si>
    <t xml:space="preserve">Sprint 3: Dashboard de Trazabilidad y Alertas</t>
  </si>
  <si>
    <t xml:space="preserve">T-504</t>
  </si>
  <si>
    <t xml:space="preserve">Sprint 4: Desarrollo App MASP</t>
  </si>
  <si>
    <t xml:space="preserve">T-505</t>
  </si>
  <si>
    <t xml:space="preserve">Sprint 5: Integración SIVIGE (Interoperabilidad)</t>
  </si>
  <si>
    <t xml:space="preserve">En TimeLogs incluye backend de Rutas y reasignación masiva, no SIVIGE</t>
  </si>
  <si>
    <t xml:space="preserve">T-506</t>
  </si>
  <si>
    <t xml:space="preserve">Ejecución de Pruebas Unitarias y de Carga (sprint)</t>
  </si>
  <si>
    <t xml:space="preserve">T-601</t>
  </si>
  <si>
    <t xml:space="preserve">BI: Diseño de Dashboards y ETL</t>
  </si>
  <si>
    <t xml:space="preserve">T-602</t>
  </si>
  <si>
    <t xml:space="preserve">Adopción: Manuales y Capacitación</t>
  </si>
  <si>
    <t xml:space="preserve">T-603</t>
  </si>
  <si>
    <t xml:space="preserve">Despliegue: Migración a Producción (App)</t>
  </si>
  <si>
    <t xml:space="preserve">T-604</t>
  </si>
  <si>
    <t xml:space="preserve">Soporte: Activación Mesa de Ayuda</t>
  </si>
  <si>
    <t xml:space="preserve">T-605</t>
  </si>
  <si>
    <t xml:space="preserve">Ejecución de Pruebas Unitarias y de Carga (App)</t>
  </si>
  <si>
    <t xml:space="preserve">En TimeLogs se usó para construir Atención Psicosocial, Rutas y Reportar Aquí (Bolsa 2), no para pruebas de la app</t>
  </si>
  <si>
    <t xml:space="preserve">T-606</t>
  </si>
  <si>
    <t xml:space="preserve">Setup Entornos, BD Postgres y Seguridad</t>
  </si>
  <si>
    <t xml:space="preserve">T-607</t>
  </si>
  <si>
    <t xml:space="preserve">Setup Entornos y Seguridad API (App MASP)</t>
  </si>
  <si>
    <t xml:space="preserve">T-608</t>
  </si>
  <si>
    <t xml:space="preserve">Módulos Recepción y Motor de Tamizaje (Web)</t>
  </si>
  <si>
    <t xml:space="preserve">T-609</t>
  </si>
  <si>
    <t xml:space="preserve">Módulo de Seguimiento y Tableros BI / ETL</t>
  </si>
  <si>
    <t xml:space="preserve">T-610</t>
  </si>
  <si>
    <t xml:space="preserve">Desarrollo Interfaz y Lógica App Móvil MASP</t>
  </si>
  <si>
    <t xml:space="preserve">En TimeLogs incluye mockups de Rutas y modales de Psicosocial</t>
  </si>
  <si>
    <t xml:space="preserve">T-702</t>
  </si>
  <si>
    <t xml:space="preserve">Ajustes Post-UAT y Estabilización</t>
  </si>
  <si>
    <t xml:space="preserve">T-703</t>
  </si>
  <si>
    <t xml:space="preserve">Transferencia de Conocimiento y Capacitación</t>
  </si>
  <si>
    <t xml:space="preserve">T-705</t>
  </si>
  <si>
    <t xml:space="preserve">Paso a Producción Oficial SALVIA</t>
  </si>
  <si>
    <t xml:space="preserve">T-707</t>
  </si>
  <si>
    <t xml:space="preserve">QA Unitarias, Carga y Vulnerabilidad (SALVIA Web)</t>
  </si>
  <si>
    <t xml:space="preserve">T-708</t>
  </si>
  <si>
    <t xml:space="preserve">QA Unitarias, Estrés y Vulnerabilidad (App MASP)</t>
  </si>
  <si>
    <t xml:space="preserve">T-709</t>
  </si>
  <si>
    <t xml:space="preserve">Pruebas de Aceptación de Usuario UAT (SALVIA Web)</t>
  </si>
  <si>
    <t xml:space="preserve">T-710</t>
  </si>
  <si>
    <t xml:space="preserve">Pruebas de Aceptación de Usuario UAT (App MASP)</t>
  </si>
  <si>
    <t xml:space="preserve">T-801</t>
  </si>
  <si>
    <t xml:space="preserve">Migración y Recibo en Producción (SALVIA)</t>
  </si>
  <si>
    <t xml:space="preserve">T-802</t>
  </si>
  <si>
    <t xml:space="preserve">Despliegue de APIs a producción (MASP)</t>
  </si>
  <si>
    <t xml:space="preserve">T-901</t>
  </si>
  <si>
    <t xml:space="preserve">Validación final de migración y recibo</t>
  </si>
  <si>
    <t xml:space="preserve">T-1201</t>
  </si>
  <si>
    <t xml:space="preserve">Comités Técnicos, Gestión de Riesgos y Reportes (Bolsa 1)</t>
  </si>
  <si>
    <t xml:space="preserve">T-1202</t>
  </si>
  <si>
    <t xml:space="preserve">Comités Técnicos, Gestión de Riesgos y Reportes (Bolsa 2)</t>
  </si>
  <si>
    <t xml:space="preserve">J-4.5.1</t>
  </si>
  <si>
    <t xml:space="preserve">Historias de usuario de Medidas de Emergencia (Jira, octubre)</t>
  </si>
  <si>
    <t xml:space="preserve">Agregada para las horas de octubre de la hoja Horas_Jira</t>
  </si>
  <si>
    <t xml:space="preserve">J-4.5.2</t>
  </si>
  <si>
    <t xml:space="preserve">Mockups de Medidas de Emergencia (Jira, octubre)</t>
  </si>
  <si>
    <t xml:space="preserve">J-6.1.8</t>
  </si>
  <si>
    <t xml:space="preserve">Nuevo formulario de Reporte y Registro (Jira, octubre)</t>
  </si>
  <si>
    <t xml:space="preserve">J-6.1.9</t>
  </si>
  <si>
    <t xml:space="preserve">Medidas de Emergencia: pantallas y flujo (Jira, octubre)</t>
  </si>
  <si>
    <t xml:space="preserve">J-6.1.11</t>
  </si>
  <si>
    <t xml:space="preserve">Atención Psicosocial (Jira, octubre)</t>
  </si>
  <si>
    <t xml:space="preserve">J-6.1.12</t>
  </si>
  <si>
    <t xml:space="preserve">Rutas y gestión institucional (Jira, octubre)</t>
  </si>
  <si>
    <t xml:space="preserve">Date</t>
  </si>
  <si>
    <t xml:space="preserve">Month</t>
  </si>
  <si>
    <t xml:space="preserve">BOLSA</t>
  </si>
  <si>
    <t xml:space="preserve">MODULO</t>
  </si>
  <si>
    <t xml:space="preserve">MODULO_SALVIA</t>
  </si>
  <si>
    <t xml:space="preserve">Work Description</t>
  </si>
  <si>
    <t xml:space="preserve">Hours</t>
  </si>
  <si>
    <t xml:space="preserve">Issue</t>
  </si>
  <si>
    <t xml:space="preserve">Desarrollador</t>
  </si>
  <si>
    <t xml:space="preserve">Sprint</t>
  </si>
  <si>
    <t xml:space="preserve">Bolsa 1</t>
  </si>
  <si>
    <t xml:space="preserve">Categoría 4: Ingeniería y Desarrollo Web - Macro-Módulo Central (Fase 2)</t>
  </si>
  <si>
    <t xml:space="preserve">6. PSICOSOCIAL (contcto seguro)</t>
  </si>
  <si>
    <t xml:space="preserve">Inicio de atención inmediata duplica contactos</t>
  </si>
  <si>
    <t xml:space="preserve">PSWYA-790</t>
  </si>
  <si>
    <t xml:space="preserve">Juan Nicolas Ruiz</t>
  </si>
  <si>
    <t xml:space="preserve">Sprint 19</t>
  </si>
  <si>
    <t xml:space="preserve">psico</t>
  </si>
  <si>
    <t xml:space="preserve">Categoría 8: Aseguramiento de Calidad (QA) y Pruebas Técnicas</t>
  </si>
  <si>
    <t xml:space="preserve">1. ARQUITECTURA</t>
  </si>
  <si>
    <t xml:space="preserve">QA de funcionalidades concretadas en sprint 18</t>
  </si>
  <si>
    <t xml:space="preserve">PSWYA-795</t>
  </si>
  <si>
    <t xml:space="preserve">brayanmarbelo</t>
  </si>
  <si>
    <t xml:space="preserve">qa</t>
  </si>
  <si>
    <t xml:space="preserve">Categoría 1: Gobernanza, Planificación Estratégica y Dirección del Proyecto</t>
  </si>
  <si>
    <t xml:space="preserve">Reunión 5 de octubre: avances de seguimiento</t>
  </si>
  <si>
    <t xml:space="preserve">PSWYA-860</t>
  </si>
  <si>
    <t xml:space="preserve">Andres Felipe Ascencio Medina</t>
  </si>
  <si>
    <t xml:space="preserve">gestion</t>
  </si>
  <si>
    <t xml:space="preserve">Análisis y feedback del sprint del 5 de octubre</t>
  </si>
  <si>
    <t xml:space="preserve">PSWYA-861</t>
  </si>
  <si>
    <t xml:space="preserve">2. SEGUIMIENTO</t>
  </si>
  <si>
    <t xml:space="preserve">Fechas inconsistentes entre pantallas del portal</t>
  </si>
  <si>
    <t xml:space="preserve">PSWYA-780</t>
  </si>
  <si>
    <t xml:space="preserve">seguimiento</t>
  </si>
  <si>
    <t xml:space="preserve">Mis Casos muestra casos de otros agentes</t>
  </si>
  <si>
    <t xml:space="preserve">PSWYA-782</t>
  </si>
  <si>
    <t xml:space="preserve">7.  ACTIVACION RUTAS (protección urgente)</t>
  </si>
  <si>
    <t xml:space="preserve">Etiquetas DIVIPOLA incorrectas en Directorio de Entidades</t>
  </si>
  <si>
    <t xml:space="preserve">PSWYA-783</t>
  </si>
  <si>
    <t xml:space="preserve">Brandon Martin Naranjo Piraban</t>
  </si>
  <si>
    <t xml:space="preserve">rutas</t>
  </si>
  <si>
    <t xml:space="preserve">Revisión exhaustiva de terminología en flujo psicosocial</t>
  </si>
  <si>
    <t xml:space="preserve">PSWYA-784</t>
  </si>
  <si>
    <t xml:space="preserve">De inmediato no redirige al formulario de seguimiento</t>
  </si>
  <si>
    <t xml:space="preserve">PSWYA-786</t>
  </si>
  <si>
    <t xml:space="preserve">Consentimiento informado con texto de pruebas</t>
  </si>
  <si>
    <t xml:space="preserve">PSWYA-791</t>
  </si>
  <si>
    <t xml:space="preserve">Consentimiento de persona de apoyo obligatorio indebidamente</t>
  </si>
  <si>
    <t xml:space="preserve">PSWYA-792</t>
  </si>
  <si>
    <t xml:space="preserve">Categoría 3: Requerimientos, Diseño Funcional y Prototipado UX/UI</t>
  </si>
  <si>
    <t xml:space="preserve">8. MEDIDAS DE EMERGENCIA</t>
  </si>
  <si>
    <t xml:space="preserve">Redactar historias de usuario de Medidas de Emergencia</t>
  </si>
  <si>
    <t xml:space="preserve">PSWYA-796</t>
  </si>
  <si>
    <t xml:space="preserve">med_hu</t>
  </si>
  <si>
    <t xml:space="preserve">Categoría 7: Analítica de Datos e Inteligencia de Negocios (BI)</t>
  </si>
  <si>
    <t xml:space="preserve">Falta columna de responsable en descarga</t>
  </si>
  <si>
    <t xml:space="preserve">PSWYA-781</t>
  </si>
  <si>
    <t xml:space="preserve">analitica</t>
  </si>
  <si>
    <t xml:space="preserve">Directorio de entidades no filtra por departamento-ciudad</t>
  </si>
  <si>
    <t xml:space="preserve">PSWYA-785</t>
  </si>
  <si>
    <t xml:space="preserve">Validación de remisión falla en derivaciones externas</t>
  </si>
  <si>
    <t xml:space="preserve">PSWYA-787</t>
  </si>
  <si>
    <t xml:space="preserve">Columna Tarea (Solicitud) debe decir Solicitud</t>
  </si>
  <si>
    <t xml:space="preserve">PSWYA-793</t>
  </si>
  <si>
    <t xml:space="preserve">Reunión 7 de octubre: hallazgos de psicosocial</t>
  </si>
  <si>
    <t xml:space="preserve">PSWYA-859</t>
  </si>
  <si>
    <t xml:space="preserve">Conteo erróneo de seguimientos psicosociales</t>
  </si>
  <si>
    <t xml:space="preserve">PSWYA-788</t>
  </si>
  <si>
    <t xml:space="preserve">No permite cierre por imposibilidad de contacto</t>
  </si>
  <si>
    <t xml:space="preserve">PSWYA-789</t>
  </si>
  <si>
    <t xml:space="preserve">Reporte del sprint 19 para la reunión del 9 de octubre</t>
  </si>
  <si>
    <t xml:space="preserve">PSWYA-858</t>
  </si>
  <si>
    <t xml:space="preserve">Reunión 9 de octubre: seguimiento de hallazgos</t>
  </si>
  <si>
    <t xml:space="preserve">PSWYA-864</t>
  </si>
  <si>
    <t xml:space="preserve">Mockups de medidas de emergencia</t>
  </si>
  <si>
    <t xml:space="preserve">PSWYA-862</t>
  </si>
  <si>
    <t xml:space="preserve">Sprint 20</t>
  </si>
  <si>
    <t xml:space="preserve">med_mock</t>
  </si>
  <si>
    <t xml:space="preserve">Generación del plan de trabajo del sprint del 12 de octubre</t>
  </si>
  <si>
    <t xml:space="preserve">PSWYA-863</t>
  </si>
  <si>
    <t xml:space="preserve">Mostrar en la Lista de casos los intentos de contacto (3x3) y no solo los seguimientos efectivos</t>
  </si>
  <si>
    <t xml:space="preserve">PSWYA-798</t>
  </si>
  <si>
    <t xml:space="preserve">Wilmer Santiago Ramos</t>
  </si>
  <si>
    <t xml:space="preserve">Crear informe requerimientos y ajustes de despliegue</t>
  </si>
  <si>
    <t xml:space="preserve">PSWYA-802</t>
  </si>
  <si>
    <t xml:space="preserve">Hacer QA de todos los requerimientos del Sprint anterior</t>
  </si>
  <si>
    <t xml:space="preserve">PSWYA-803</t>
  </si>
  <si>
    <t xml:space="preserve">No se pueden descargar datos anteriores a junio</t>
  </si>
  <si>
    <t xml:space="preserve">PSWYA-819</t>
  </si>
  <si>
    <t xml:space="preserve">DIVIPOLA: corregir los títulos «Ciudad» y «Municipio» (municipio y centro poblado)</t>
  </si>
  <si>
    <t xml:space="preserve">PSWYA-822</t>
  </si>
  <si>
    <t xml:space="preserve">Fecha del próximo seguimiento distinta entre la Lista de casos y Seguimientos</t>
  </si>
  <si>
    <t xml:space="preserve">PSWYA-799</t>
  </si>
  <si>
    <t xml:space="preserve">Estado «Desconocido» de los casos: no se entiende y no está en los filtros</t>
  </si>
  <si>
    <t xml:space="preserve">PSWYA-800</t>
  </si>
  <si>
    <t xml:space="preserve">Las entidades no están asociadas al DIVIPOLA</t>
  </si>
  <si>
    <t xml:space="preserve">PSWYA-811</t>
  </si>
  <si>
    <t xml:space="preserve">Sin trazabilidad de asignaciones automáticas en el reporte consolidado</t>
  </si>
  <si>
    <t xml:space="preserve">PSWYA-820</t>
  </si>
  <si>
    <t xml:space="preserve">2.3. Tamizaje</t>
  </si>
  <si>
    <t xml:space="preserve">Desarrollo de funcionalidades de gestión de reportes</t>
  </si>
  <si>
    <t xml:space="preserve">PSWYA-867</t>
  </si>
  <si>
    <t xml:space="preserve">registro</t>
  </si>
  <si>
    <t xml:space="preserve">Desarrollo de Registro versión 3</t>
  </si>
  <si>
    <t xml:space="preserve">PSWYA-868</t>
  </si>
  <si>
    <t xml:space="preserve">El seguimiento que aparece en el calendario no deriva directamente al seguimiento del caso</t>
  </si>
  <si>
    <t xml:space="preserve">PSWYA-815</t>
  </si>
  <si>
    <t xml:space="preserve">Rol supervisión: el calendario no permite visualizar por dupla, solo por profesional</t>
  </si>
  <si>
    <t xml:space="preserve">PSWYA-816</t>
  </si>
  <si>
    <t xml:space="preserve">Desfase horario en la descarga del consolidado de seguimiento</t>
  </si>
  <si>
    <t xml:space="preserve">PSWYA-821</t>
  </si>
  <si>
    <t xml:space="preserve">Rediseñar «+ Nuevo seguimiento» y retirar «Asignarme este caso» y «Crear e iniciar seguimiento»</t>
  </si>
  <si>
    <t xml:space="preserve">PSWYA-824</t>
  </si>
  <si>
    <t xml:space="preserve">2.11. Gestión de Roles y Permisos (RBAC)</t>
  </si>
  <si>
    <t xml:space="preserve">Análisis y cambios para que ciertos usuarios no puedan acceder a la plataforma</t>
  </si>
  <si>
    <t xml:space="preserve">PSWYA-866</t>
  </si>
  <si>
    <t xml:space="preserve">acceso</t>
  </si>
  <si>
    <t xml:space="preserve">Prototipo inicial del formulario de seguimiento V.4</t>
  </si>
  <si>
    <t xml:space="preserve">PSWYA-871</t>
  </si>
  <si>
    <t xml:space="preserve">v4_proto</t>
  </si>
  <si>
    <t xml:space="preserve">Probar flujo completo del módulo de rutas</t>
  </si>
  <si>
    <t xml:space="preserve">PSWYA-804</t>
  </si>
  <si>
    <t xml:space="preserve">Replicar y entender estos Bugs</t>
  </si>
  <si>
    <t xml:space="preserve">PSWYA-806</t>
  </si>
  <si>
    <t xml:space="preserve">Categoría 9: Estabilización, Migración y Paso a Producción</t>
  </si>
  <si>
    <t xml:space="preserve">Depuración de usuarios habilitados en Salvia</t>
  </si>
  <si>
    <t xml:space="preserve">PSWYA-828</t>
  </si>
  <si>
    <t xml:space="preserve">despliegue</t>
  </si>
  <si>
    <t xml:space="preserve">Ajustes del prototipo: salto entre secciones y primera revisión</t>
  </si>
  <si>
    <t xml:space="preserve">PSWYA-872</t>
  </si>
  <si>
    <t xml:space="preserve">Reunión 17 de octubre: nuevo formulario de reporte</t>
  </si>
  <si>
    <t xml:space="preserve">PSWYA-865</t>
  </si>
  <si>
    <t xml:space="preserve">Categoría 10: Transferencia de Conocimiento, Soporte y Cierre Legal</t>
  </si>
  <si>
    <t xml:space="preserve">Grabación de video ciclo de gestión de rutas con entidades</t>
  </si>
  <si>
    <t xml:space="preserve">PSWYA-839</t>
  </si>
  <si>
    <t xml:space="preserve">Sprint 21</t>
  </si>
  <si>
    <t xml:space="preserve">transfer</t>
  </si>
  <si>
    <t xml:space="preserve">Generación del plan de trabajo del sprint del 19 de octubre</t>
  </si>
  <si>
    <t xml:space="preserve">PSWYA-870</t>
  </si>
  <si>
    <t xml:space="preserve">Creación de usuarios alcaldías en BD producción y pruebas</t>
  </si>
  <si>
    <t xml:space="preserve">PSWYA-832</t>
  </si>
  <si>
    <t xml:space="preserve">Supervisor puede gestionar tareas que corresponden al enlace</t>
  </si>
  <si>
    <t xml:space="preserve">PSWYA-834</t>
  </si>
  <si>
    <t xml:space="preserve">Organización de requerimientos de Rutas por pantallas</t>
  </si>
  <si>
    <t xml:space="preserve">PSWYA-840</t>
  </si>
  <si>
    <t xml:space="preserve">req_rutas</t>
  </si>
  <si>
    <t xml:space="preserve">Reunión 20 de octubre con Manuel</t>
  </si>
  <si>
    <t xml:space="preserve">PSWYA-869</t>
  </si>
  <si>
    <t xml:space="preserve">Revisiones del prototipo: acuerdo, debida diligencia, barreras y canales</t>
  </si>
  <si>
    <t xml:space="preserve">PSWYA-873</t>
  </si>
  <si>
    <t xml:space="preserve">Cierre de sesión inoperante en pantallas de rol entidad</t>
  </si>
  <si>
    <t xml:space="preserve">PSWYA-829</t>
  </si>
  <si>
    <t xml:space="preserve">Creación de usuario entidad desde admin no vincula entidad</t>
  </si>
  <si>
    <t xml:space="preserve">PSWYA-830</t>
  </si>
  <si>
    <t xml:space="preserve">Eliminación de pestaña Mis tareas para rol entidad</t>
  </si>
  <si>
    <t xml:space="preserve">PSWYA-831</t>
  </si>
  <si>
    <t xml:space="preserve">Pantalla detalle de entidad carga sin estilos aplicados</t>
  </si>
  <si>
    <t xml:space="preserve">PSWYA-833</t>
  </si>
  <si>
    <t xml:space="preserve">Campo sucursal oculto impide crear usuarios de alcaldía</t>
  </si>
  <si>
    <t xml:space="preserve">PSWYA-841</t>
  </si>
  <si>
    <t xml:space="preserve">Sembrar el formulario V.4 sin reemplazar el vigente</t>
  </si>
  <si>
    <t xml:space="preserve">PSWYA-874</t>
  </si>
  <si>
    <t xml:space="preserve">v4_dev</t>
  </si>
  <si>
    <t xml:space="preserve">Gestión del enlace territorial solo visible en el timeline</t>
  </si>
  <si>
    <t xml:space="preserve">PSWYA-844</t>
  </si>
  <si>
    <t xml:space="preserve">Entidad de seguimiento no se refleja en Gestión institucional</t>
  </si>
  <si>
    <t xml:space="preserve">PSWYA-845</t>
  </si>
  <si>
    <t xml:space="preserve">Interfaz pantalla remisiones medidas emergencia</t>
  </si>
  <si>
    <t xml:space="preserve">PSWYA-850</t>
  </si>
  <si>
    <t xml:space="preserve">med_dev</t>
  </si>
  <si>
    <t xml:space="preserve">Planeacion pantallas remisiones medidas de emergencia</t>
  </si>
  <si>
    <t xml:space="preserve">PSWYA-851</t>
  </si>
  <si>
    <t xml:space="preserve">Logica remisiones medidas de emergencia</t>
  </si>
  <si>
    <t xml:space="preserve">PSWYA-852</t>
  </si>
  <si>
    <t xml:space="preserve">Crear roles y data de prueba para probar pantalla</t>
  </si>
  <si>
    <t xml:space="preserve">PSWYA-853</t>
  </si>
  <si>
    <t xml:space="preserve">3.  BARRERAS</t>
  </si>
  <si>
    <t xml:space="preserve">Caso no llega al mecanismo al gestionar alerta por barreras</t>
  </si>
  <si>
    <t xml:space="preserve">PSWYA-835</t>
  </si>
  <si>
    <t xml:space="preserve">barreras</t>
  </si>
  <si>
    <t xml:space="preserve">Acciones de equipo técnico sin trazabilidad visible en el caso</t>
  </si>
  <si>
    <t xml:space="preserve">PSWYA-836</t>
  </si>
  <si>
    <t xml:space="preserve">Recomendaciones al agente no se guardan al gestionar alerta por barreras</t>
  </si>
  <si>
    <t xml:space="preserve">PSWYA-837</t>
  </si>
  <si>
    <t xml:space="preserve">Implementación de sección Análisis del caso para mesa técnica</t>
  </si>
  <si>
    <t xml:space="preserve">PSWYA-838</t>
  </si>
  <si>
    <t xml:space="preserve">Formularios de entidades públicas no disponibles en detalle del caso</t>
  </si>
  <si>
    <t xml:space="preserve">PSWYA-843</t>
  </si>
  <si>
    <t xml:space="preserve">Formulario de registro no asocia entidad al guardar el caso</t>
  </si>
  <si>
    <t xml:space="preserve">PSWYA-846</t>
  </si>
  <si>
    <t xml:space="preserve">Label checklist de entidades poco descriptivo en registro</t>
  </si>
  <si>
    <t xml:space="preserve">PSWYA-847</t>
  </si>
  <si>
    <t xml:space="preserve">Canales de activación no generan tareas al guardar registro</t>
  </si>
  <si>
    <t xml:space="preserve">PSWYA-848</t>
  </si>
  <si>
    <t xml:space="preserve">Interfaz pantalla detalle remision medida de emergencia</t>
  </si>
  <si>
    <t xml:space="preserve">PSWYA-855</t>
  </si>
  <si>
    <t xml:space="preserve">Logica para pantalla de detalle de remision medida de emergencia</t>
  </si>
  <si>
    <t xml:space="preserve">PSWYA-856</t>
  </si>
  <si>
    <t xml:space="preserve">Abrir el formulario V.4 en hacer seguimiento</t>
  </si>
  <si>
    <t xml:space="preserve">PSWYA-875</t>
  </si>
  <si>
    <t xml:space="preserve">Ejecutar la lógica del formulario V.4 al completarlo</t>
  </si>
  <si>
    <t xml:space="preserve">PSWYA-876</t>
  </si>
  <si>
    <t xml:space="preserve">Adaptar las remisiones de medidas de emergencia al formulario V.4</t>
  </si>
  <si>
    <t xml:space="preserve">PSWYA-877</t>
  </si>
  <si>
    <t xml:space="preserve">Agregar la sección Seguimiento a medidas de emergencia</t>
  </si>
  <si>
    <t xml:space="preserve">PSWYA-878</t>
  </si>
  <si>
    <t xml:space="preserve">Bolsa 2</t>
  </si>
  <si>
    <t xml:space="preserve">Gestión del proyecto: daily con el equipo, sesiones de lunes, miércoles y viernes con la supervisión, reuniones de avance con SALVIA, cruce de los 485 commits de septiembre contra los sprints, seguimiento a la prórroga y reporte de horas de octubre</t>
  </si>
  <si>
    <t xml:space="preserve">Informe INF-SGC-09</t>
  </si>
  <si>
    <t xml:space="preserve">Andrés Posada</t>
  </si>
  <si>
    <t xml:space="preserve">Oct (1 al 23)</t>
  </si>
  <si>
    <t xml:space="preserve">gerencia</t>
  </si>
  <si>
    <t xml:space="preserve">Gestión de hallazgos y QA: matriz Tickets Salvia (28 hallazgos nuevos del 6-oct) y triage semanal de los sprints 17 a 19 con validación de cierres con evidencia</t>
  </si>
  <si>
    <t xml:space="preserve">Reporte, Registro y Alerta Inminente: aprobación del mockup con Gestión del Conocimiento, entrega del HTML al equipo y seguimiento a la construcción de Registro V3</t>
  </si>
  <si>
    <t xml:space="preserve">Medidas de Emergencia: validación de las 38 historias de usuario y sesiones de feedback sobre el mockup</t>
  </si>
  <si>
    <t xml:space="preserve">Rutas y Entidades: migración y mapeo de 38 entidades y 237 acciones institucionales, entidad Alcaldía con sedes por municipio, bug de coordenadas nulas, usuarios de prueba de los 3 municipios piloto y coordinación del ciclo de Rutas con SALVIA</t>
  </si>
  <si>
    <t xml:space="preserve">Control de acceso a pruebas y producción (lista autorizada), estandarización de ramas y seguimiento del plan de migración a AWS</t>
  </si>
  <si>
    <t xml:space="preserve">Transferencia de conocimiento: 9 manuales técnicos de SALVIA y Red de Acción SALVIA (30 pantallas, 74 capturas)</t>
  </si>
  <si>
    <t xml:space="preserve">Linea</t>
  </si>
  <si>
    <t xml:space="preserve">Etapa</t>
  </si>
  <si>
    <t xml:space="preserve">Semana_Inicio</t>
  </si>
  <si>
    <t xml:space="preserve">Semana_Fin</t>
  </si>
  <si>
    <t xml:space="preserve">Items_EDT</t>
  </si>
  <si>
    <t xml:space="preserve">Registro y Reporte</t>
  </si>
  <si>
    <t xml:space="preserve">Pruebas</t>
  </si>
  <si>
    <t xml:space="preserve">Ajustar Alerta Inminente en el mockup. Actualmente en ajustes del prototipo; pendiente revisión de pruebas antes del despliegue a todos en pruebas.</t>
  </si>
  <si>
    <t xml:space="preserve">Andrés Felipe Ascencio</t>
  </si>
  <si>
    <t xml:space="preserve">M2, M4, M5</t>
  </si>
  <si>
    <t xml:space="preserve">Seguimiento y Detalle del Caso</t>
  </si>
  <si>
    <t xml:space="preserve">Desarrollo</t>
  </si>
  <si>
    <t xml:space="preserve">En revisión algunos hallazgos pendientes. Revisando en pruebas. Pendiente despliegue.</t>
  </si>
  <si>
    <t xml:space="preserve">Notificaciones</t>
  </si>
  <si>
    <t xml:space="preserve">Juan Nicolás Buitrago</t>
  </si>
  <si>
    <t xml:space="preserve">Enlace territorial</t>
  </si>
  <si>
    <t xml:space="preserve">En revisión funcionalidades.</t>
  </si>
  <si>
    <t xml:space="preserve">Entidad territorial</t>
  </si>
  <si>
    <t xml:space="preserve">En revisión funcionalidades. Avance sustancial con Amazonía. Requiere revisar según avance de la 3.ª semana de octubre.</t>
  </si>
  <si>
    <t xml:space="preserve">Brandon Martín</t>
  </si>
  <si>
    <t xml:space="preserve">Mecanismo Articulador</t>
  </si>
  <si>
    <t xml:space="preserve">Equipo Psicosocial</t>
  </si>
  <si>
    <t xml:space="preserve">Medidas de Emergencia</t>
  </si>
  <si>
    <t xml:space="preserve">En avance hacia prototipo. Pendiente retroalimentación con el Equipo Técnico-Administrativo.</t>
  </si>
  <si>
    <t xml:space="preserve">6.1.9, 6.1.10</t>
  </si>
  <si>
    <t xml:space="preserve">Hombres</t>
  </si>
  <si>
    <t xml:space="preserve">Pendiente por ideación</t>
  </si>
  <si>
    <t xml:space="preserve">Pendiente reunión para iniciar diseño en mesa de trabajo interna. Los equipos ya enviaron insumos iniciales.</t>
  </si>
  <si>
    <t xml:space="preserve">Estabilización</t>
  </si>
  <si>
    <t xml:space="preserve">Registro Familiares Feminicidio</t>
  </si>
  <si>
    <t xml:space="preserve">MockUp</t>
  </si>
  <si>
    <t xml:space="preserve">Actualmente está en mockup. Pendiente revisión y retroalimentación.</t>
  </si>
  <si>
    <t xml:space="preserve">Ajustes de discapacidad</t>
  </si>
  <si>
    <t xml:space="preserve">Por definir ruta.</t>
  </si>
  <si>
    <t xml:space="preserve">Tarea</t>
  </si>
  <si>
    <t xml:space="preserve">Fuente</t>
  </si>
  <si>
    <t xml:space="preserve">Hito</t>
  </si>
  <si>
    <t xml:space="preserve">Bloquear la creación de usuarios de entidad desde la pantalla de crear usuarios y dejarla solo en el Directorio de Entidades (al crear el usuario desde el admin la entidad no queda bien creada)</t>
  </si>
  <si>
    <t xml:space="preserve">FigJam · Sprint 26 Oct</t>
  </si>
  <si>
    <t xml:space="preserve">Pendiente</t>
  </si>
  <si>
    <t xml:space="preserve">Hacer la versión definitiva de los formularios de Psicosocial</t>
  </si>
  <si>
    <t xml:space="preserve">Enviar el caso al mecanismo articulador elegido al guardar el formulario de decisiones del comité (alerta por barreras)</t>
  </si>
  <si>
    <t xml:space="preserve">Guardar las recomendaciones al agente que el equipo técnico selecciona al gestionar una alerta por barreras; validar con SALVIA dónde deben quedar</t>
  </si>
  <si>
    <t xml:space="preserve">Hacer las tareas del flujo de Medidas de Emergencia</t>
  </si>
  <si>
    <t xml:space="preserve">Análisis del caso: habilitar desde esa sección la misma tarea de decisiones del equipo técnico (remitir a mesa técnica)</t>
  </si>
  <si>
    <t xml:space="preserve">Validar que la entidad pueda responder las solicitudes en Mis acciones institucionales: lo registrado desde seguimiento debe verse en la entidad, crear la tarea de la solicitud y que al completarla se genere la acción institucional</t>
  </si>
  <si>
    <t xml:space="preserve">Hacer los manuales de usuario</t>
  </si>
  <si>
    <t xml:space="preserve">Documentación y capacitación</t>
  </si>
  <si>
    <t xml:space="preserve">Priorizar con Laura los ajustes más importantes de Rutas, Psicosocial y Seguimiento</t>
  </si>
  <si>
    <t xml:space="preserve">Probar que el 3x3 de Psicosocial funciona y que se puede cerrar la remisión por falta de contacto; dejar un botón exclusivo para el intento de contacto</t>
  </si>
  <si>
    <t xml:space="preserve">Flujo Medidas · Agente de seguimiento remite el caso</t>
  </si>
  <si>
    <t xml:space="preserve">FigJam · Terminar Medidas</t>
  </si>
  <si>
    <t xml:space="preserve">Flujo Medidas · Equipo Técnico: revisar remisión (pendiente de revisión), con historial del chat</t>
  </si>
  <si>
    <t xml:space="preserve">Flujo Medidas · Agente de seguimiento: ajustar la remisión devuelta por el Equipo Técnico</t>
  </si>
  <si>
    <t xml:space="preserve">Flujo Medidas · Supervisor de Medidas: asignar agente</t>
  </si>
  <si>
    <t xml:space="preserve">Flujo Medidas · Agente de Medidas: intentar contacto (3x3)</t>
  </si>
  <si>
    <t xml:space="preserve">Flujo Medidas · Agente de Medidas: cerrar remisión por no contacto (3/3 sin contacto)</t>
  </si>
  <si>
    <t xml:space="preserve">Flujo Medidas · Supervisor de Medidas: decidir vía de atención (riesgo inminente, booleano) y asignar agente</t>
  </si>
  <si>
    <t xml:space="preserve">Flujo Medidas · Supervisión del Convenio: escalar a Cruz Roja (riesgo inminente)</t>
  </si>
  <si>
    <t xml:space="preserve">Flujo Medidas · Cruz Roja: entregar medida inmediata (sin caracterización previa)</t>
  </si>
  <si>
    <t xml:space="preserve">Flujo Medidas · Agente de Medidas: confirmar que la persona está en un lugar seguro</t>
  </si>
  <si>
    <t xml:space="preserve">Flujo Medidas · Agente de Medidas: contactar a la víctima y realizar la entrevista de caracterización</t>
  </si>
  <si>
    <t xml:space="preserve">Flujo Medidas · Supervisor de Medidas: revisar la caracterización del caso</t>
  </si>
  <si>
    <t xml:space="preserve">Flujo Medidas · Supervisión del Convenio: revisar la trazabilidad del caso</t>
  </si>
  <si>
    <t xml:space="preserve">Flujo Medidas · Cruz Roja: cargar cotizaciones de las medidas</t>
  </si>
  <si>
    <t xml:space="preserve">Flujo Medidas · Supervisión del Convenio: revisar y aprobar cotizaciones (o devolver para recotizar)</t>
  </si>
  <si>
    <t xml:space="preserve">Flujo Medidas · Enlace Territorial: gestionar la medida en territorio</t>
  </si>
  <si>
    <t xml:space="preserve">Flujo Medidas · Cruz Roja: marcar medidas como otorgadas</t>
  </si>
  <si>
    <t xml:space="preserve">Por asignar</t>
  </si>
  <si>
    <t xml:space="preserve">Flujo Medidas · Agente de Medidas: concluir gestión sin ME (sin consentimiento); el color no coincide con la leyenda de Santiago ni de Juan</t>
  </si>
  <si>
    <t xml:space="preserve">Hallazgo 109 (Alta) · Detalle del caso, Gestión institucional: al agregar una entidad no se listan las instituciones por sector (Salud, Justicia, Protección)</t>
  </si>
  <si>
    <t xml:space="preserve">FigJam · Módulo Rutas (hallazgos SALVIA)</t>
  </si>
  <si>
    <t xml:space="preserve">Abierto</t>
  </si>
  <si>
    <t xml:space="preserve">Hallazgo 119 (Alta) · Mis acciones institucionales: Notificaciones debe aprobar antes de enviar a la entidad una solicitud hecha desde Mi SALVIA; unirlo con el módulo de Notificaciones</t>
  </si>
  <si>
    <t xml:space="preserve">Hallazgo 112 (Alta) · Definir el campo «¿Qué debe gestionar la víctima en esta entidad?» con el cliente y el Equipo Técnico SALVIA</t>
  </si>
  <si>
    <t xml:space="preserve">Hallazgo 111 (Alta) · Definir el campo «Objetivo de la entidad — solicitud de la entidad» con el cliente y el Equipo Técnico SALVIA</t>
  </si>
  <si>
    <t xml:space="preserve">Hallazgo 114 (Alta) · Falta el checklist de competencia de las entidades; aclarar si debe incluirse y su contenido</t>
  </si>
  <si>
    <t xml:space="preserve">Hallazgo 115 (Alta) · Falta el checklist de acciones institucionales; aclarar si debe incluirse y su contenido</t>
  </si>
  <si>
    <t xml:space="preserve">Orden</t>
  </si>
  <si>
    <t xml:space="preserve">Modulo</t>
  </si>
  <si>
    <t xml:space="preserve">Avance_referido</t>
  </si>
  <si>
    <t xml:space="preserve">Documento</t>
  </si>
  <si>
    <t xml:space="preserve">Seguimiento</t>
  </si>
  <si>
    <t xml:space="preserve">Documento de requerimientos funcionales y no funcionales</t>
  </si>
  <si>
    <t xml:space="preserve">Se documenta primero</t>
  </si>
  <si>
    <t xml:space="preserve">Documento de casos de uso</t>
  </si>
  <si>
    <t xml:space="preserve">Documento de diagramas de flujo de procesos</t>
  </si>
  <si>
    <t xml:space="preserve">Manual técnico para el equipo de desarrollo</t>
  </si>
  <si>
    <t xml:space="preserve">Plan de pruebas funcionales</t>
  </si>
  <si>
    <t xml:space="preserve">Registro y seguimiento de errores y correcciones (bugs)</t>
  </si>
  <si>
    <t xml:space="preserve">Documento de validación de criterios de aceptación</t>
  </si>
  <si>
    <t xml:space="preserve">Registro de ajustes funcionales acordados y validados</t>
  </si>
  <si>
    <t xml:space="preserve">Inventario de entregables realizados</t>
  </si>
  <si>
    <t xml:space="preserve">Acta o registro de entrega de documentación técnica, manuales y actas generadas</t>
  </si>
  <si>
    <t xml:space="preserve">Reporte y Registro</t>
  </si>
  <si>
    <t xml:space="preserve">Se documenta cuando cierre su desarrollo (semana 4)</t>
  </si>
  <si>
    <t xml:space="preserve">Se documenta al final para darle tiempo al desarrollo</t>
  </si>
  <si>
    <t xml:space="preserve">Semana</t>
  </si>
  <si>
    <t xml:space="preserve">Inicio</t>
  </si>
  <si>
    <t xml:space="preserve">Fin</t>
  </si>
  <si>
    <t xml:space="preserve">Uso</t>
  </si>
  <si>
    <t xml:space="preserve">26 - 31 oct</t>
  </si>
  <si>
    <t xml:space="preserve">2 - 7 nov</t>
  </si>
  <si>
    <t xml:space="preserve">9 - 14 nov</t>
  </si>
  <si>
    <t xml:space="preserve">16 - 21 nov</t>
  </si>
  <si>
    <t xml:space="preserve">23 - 28 nov</t>
  </si>
  <si>
    <t xml:space="preserve">1 - 5 dic</t>
  </si>
  <si>
    <t xml:space="preserve">7 - 12 dic</t>
  </si>
  <si>
    <t xml:space="preserve">14 - 19 dic</t>
  </si>
  <si>
    <t xml:space="preserve">Capacitación y entrega</t>
  </si>
  <si>
    <t xml:space="preserve">21 - 31 dic</t>
  </si>
  <si>
    <t xml:space="preserve">Prioridad</t>
  </si>
  <si>
    <t xml:space="preserve">Campo</t>
  </si>
  <si>
    <t xml:space="preserve">Valor</t>
  </si>
  <si>
    <t xml:space="preserve">Descripcion</t>
  </si>
  <si>
    <t xml:space="preserve">Categoria</t>
  </si>
  <si>
    <t xml:space="preserve">Categoría 1: Gobernanza y dirección del proyecto</t>
  </si>
  <si>
    <t xml:space="preserve">Categoría 2: Diagnóstico, arquitectura de datos y refactorización</t>
  </si>
  <si>
    <t xml:space="preserve">Categoría 8: QA y pruebas técnicas</t>
  </si>
  <si>
    <t xml:space="preserve">Categoría 9: Estabilización, migración y paso a producción</t>
  </si>
  <si>
    <t xml:space="preserve">Categoría 10: Transferencia, soporte y cierre</t>
  </si>
  <si>
    <t xml:space="preserve">T-104, T-401, T-407, T-408</t>
  </si>
  <si>
    <t xml:space="preserve">Tareas de arquitectura</t>
  </si>
  <si>
    <t xml:space="preserve">T-1201, T-1202, T-207</t>
  </si>
  <si>
    <t xml:space="preserve">Tareas de gobernanza y Gantt</t>
  </si>
  <si>
    <t xml:space="preserve">Módulo web ASP</t>
  </si>
  <si>
    <t xml:space="preserve">Palabra_clave</t>
  </si>
  <si>
    <t xml:space="preserve">OSIGHN|OSIGD|LGBT|identitario</t>
  </si>
  <si>
    <t xml:space="preserve">Trabajo diferencial LGBTIQ+ dentro de otros módulos</t>
  </si>
  <si>
    <t xml:space="preserve">tamizaje</t>
  </si>
  <si>
    <t xml:space="preserve">Tamizaje dentro de otros módulos</t>
  </si>
  <si>
    <t xml:space="preserve">Modulo_SALVIA</t>
  </si>
  <si>
    <t xml:space="preserve">2.3.</t>
  </si>
  <si>
    <t xml:space="preserve">Tamizaje</t>
  </si>
  <si>
    <t xml:space="preserve">10.</t>
  </si>
  <si>
    <t xml:space="preserve">LGBTIQ+</t>
  </si>
  <si>
    <t xml:space="preserve">8.</t>
  </si>
  <si>
    <t xml:space="preserve">Emergencia</t>
  </si>
  <si>
    <t xml:space="preserve">9.</t>
  </si>
  <si>
    <t xml:space="preserve">Estabilización, atendida con Medidas de Emergencia</t>
  </si>
  <si>
    <t xml:space="preserve">12.</t>
  </si>
  <si>
    <t xml:space="preserve">MASP web y app</t>
  </si>
  <si>
    <t xml:space="preserve">2.</t>
  </si>
  <si>
    <t xml:space="preserve">Seguimiento y sus componentes</t>
  </si>
  <si>
    <t xml:space="preserve">3.</t>
  </si>
  <si>
    <t xml:space="preserve">Barreras</t>
  </si>
  <si>
    <t xml:space="preserve">4.</t>
  </si>
  <si>
    <t xml:space="preserve">5.</t>
  </si>
  <si>
    <t xml:space="preserve">Territorios</t>
  </si>
  <si>
    <t xml:space="preserve">6.</t>
  </si>
  <si>
    <t xml:space="preserve">Atención Psicosocial</t>
  </si>
  <si>
    <t xml:space="preserve">7.</t>
  </si>
  <si>
    <t xml:space="preserve">Activación de Rutas</t>
  </si>
  <si>
    <t xml:space="preserve">11.</t>
  </si>
  <si>
    <t xml:space="preserve">Hombres (instrumento de registro)</t>
  </si>
  <si>
    <t xml:space="preserve">Categoría 6: Desarrollo móvil MASP</t>
  </si>
  <si>
    <t xml:space="preserve">Árbol de decisión del tamizaje</t>
  </si>
  <si>
    <t xml:space="preserve">Defecto</t>
  </si>
  <si>
    <t xml:space="preserve">Resto: requerimientos, diseño y desarrollo del macro-módulo</t>
  </si>
  <si>
    <t xml:space="preserve">Bolsa</t>
  </si>
  <si>
    <t xml:space="preserve">Horas</t>
  </si>
  <si>
    <t xml:space="preserve">Bolsa 1: SALVIA</t>
  </si>
  <si>
    <t xml:space="preserve">Bolsa 2: MASP</t>
  </si>
  <si>
    <t xml:space="preserve">Criterio</t>
  </si>
  <si>
    <t xml:space="preserve">Según evidencia documentada por mes</t>
  </si>
  <si>
    <t xml:space="preserve">Proporcional a las horas acumuladas de sus tareas</t>
  </si>
  <si>
    <t xml:space="preserve">Sin horas; aparece solo en el corte actual</t>
  </si>
  <si>
    <t xml:space="preserve">Sin horas registradas</t>
  </si>
  <si>
    <t xml:space="preserve">Según evidencia documentada por mes: videos compartidos en agosto</t>
  </si>
  <si>
    <t xml:space="preserve">N.º</t>
  </si>
  <si>
    <t xml:space="preserve">Sección</t>
  </si>
  <si>
    <t xml:space="preserve">Cambio listo para main</t>
  </si>
  <si>
    <t xml:space="preserve">Ítem EDT</t>
  </si>
  <si>
    <t xml:space="preserve">Bitácora (1-oct)</t>
  </si>
  <si>
    <t xml:space="preserve">Matriz SALVIA (8-oct)</t>
  </si>
  <si>
    <t xml:space="preserve">Lectura</t>
  </si>
  <si>
    <t xml:space="preserve">Detalle de Caso — Derivaciones</t>
  </si>
  <si>
    <t xml:space="preserve">Nueva sección donde el Equipo Técnico puede dejar comentarios de análisis del caso, visibles en el historial.</t>
  </si>
  <si>
    <t xml:space="preserve">RUT-13</t>
  </si>
  <si>
    <t xml:space="preserve">Corrige un hallazgo registrado; pendiente de despliegue y validación</t>
  </si>
  <si>
    <t xml:space="preserve">Nuevo modal para que el Equipo Técnico remita un caso directamente a otros equipos (medidas de emergencia, psicosocial, atención a hombres, estabilización económica), sin pasar por el formulario de seguimiento.</t>
  </si>
  <si>
    <t xml:space="preserve">Mejora o funcionalidad nueva lista para despliegue</t>
  </si>
  <si>
    <t xml:space="preserve">El supervisor ahora también puede remitir un caso a psicosocial desde Derivaciones (antes solo podía hacerlo el Equipo Técnico).</t>
  </si>
  <si>
    <t xml:space="preserve">Nueva tabla “Profesionales de atención” que muestra a todas las personas que han intervenido en el caso.</t>
  </si>
  <si>
    <t xml:space="preserve">SEG-34, SEG-36</t>
  </si>
  <si>
    <t xml:space="preserve">Seguimiento #29</t>
  </si>
  <si>
    <t xml:space="preserve">Se quitó de esa tabla la columna “Notas”, por ser poco legible; el detalle de cada actividad sigue disponible en la pestaña Timeline.</t>
  </si>
  <si>
    <t xml:space="preserve">Seguimiento #41</t>
  </si>
  <si>
    <t xml:space="preserve">La sección de comentarios del Equipo Técnico se amplió para incluir también el análisis y las decisiones tomadas en la mesa técnica, bajo el nuevo nombre “Análisis del caso”.</t>
  </si>
  <si>
    <t xml:space="preserve">Detalle de Caso — Seguimientos</t>
  </si>
  <si>
    <t xml:space="preserve">Los hechos reportados ahora se muestran ordenados cronológicamente por fecha del suceso.</t>
  </si>
  <si>
    <t xml:space="preserve">SEG-20</t>
  </si>
  <si>
    <t xml:space="preserve">Seguimiento #30</t>
  </si>
  <si>
    <t xml:space="preserve">Un seguimiento pendiente cuya fecha ya pasó se marca automáticamente como “Vencido” y deja de contarse en la numeración de seguimientos.</t>
  </si>
  <si>
    <t xml:space="preserve">SEG-32</t>
  </si>
  <si>
    <t xml:space="preserve">Seguimiento #31</t>
  </si>
  <si>
    <t xml:space="preserve">Nuevo aviso que explica por qué un seguimiento no se puede editar (caso cerrado, formulario migrado, etc.).</t>
  </si>
  <si>
    <t xml:space="preserve">Se corrigió que Ciudad y Municipio no cargaban al ver el detalle de un seguimiento.</t>
  </si>
  <si>
    <t xml:space="preserve">SEG-31</t>
  </si>
  <si>
    <t xml:space="preserve">Seguimiento #33</t>
  </si>
  <si>
    <t xml:space="preserve">Se corrigió un error de zona horaria que podía rechazar una reprogramación válida cerca de las 10 p.m.</t>
  </si>
  <si>
    <t xml:space="preserve">SEG-26</t>
  </si>
  <si>
    <t xml:space="preserve">Se corrigió un error que impedía abrir el formulario de seguimiento desde su propio detalle.</t>
  </si>
  <si>
    <t xml:space="preserve">Detalle de Caso — Tareas</t>
  </si>
  <si>
    <t xml:space="preserve">La pestaña Tareas ahora filtra para que el usuario de una entidad solo vea las tareas asignadas a él.</t>
  </si>
  <si>
    <t xml:space="preserve">Se amplió el límite de caracteres permitido en los campos del formulario de tareas.</t>
  </si>
  <si>
    <t xml:space="preserve">SEG-11</t>
  </si>
  <si>
    <t xml:space="preserve">Seguimiento #9</t>
  </si>
  <si>
    <t xml:space="preserve">Detalle de Caso — Mecanismos Articuladores</t>
  </si>
  <si>
    <t xml:space="preserve">Nueva tarjeta de Mecanismos en la gestión institucional del caso, para escalarlo a un mecanismo articulador (municipal, departamental o nacional).</t>
  </si>
  <si>
    <t xml:space="preserve">El bloque de Mecanismos ahora aparece después de Barreras, siguiendo primero la barrera identificada y luego el mecanismo con el que se gestiona.</t>
  </si>
  <si>
    <t xml:space="preserve">Ajustes al formulario según el alcance del mecanismo (municipal, departamental o nacional).</t>
  </si>
  <si>
    <t xml:space="preserve">Detalle de Caso — General</t>
  </si>
  <si>
    <t xml:space="preserve">Solo el rol supervisor puede reabrir un caso.</t>
  </si>
  <si>
    <t xml:space="preserve">SEG-29</t>
  </si>
  <si>
    <t xml:space="preserve">Seguimiento #34</t>
  </si>
  <si>
    <t xml:space="preserve">Detalle de Barrera</t>
  </si>
  <si>
    <t xml:space="preserve">Nueva pestaña “Oficios” que muestra los oficios asociados a esa barrera específica.</t>
  </si>
  <si>
    <t xml:space="preserve">Comité Técnico (Decisiones)</t>
  </si>
  <si>
    <t xml:space="preserve">Nueva opción “Activar Enlace Territorial” en las decisiones del comité: permite elegir el enlace destino y crea automáticamente su tarea de articulación.</t>
  </si>
  <si>
    <t xml:space="preserve">Al asociar una entidad a un caso, ahora se puede marcar un checklist de tareas u obligaciones que esa entidad debe gestionar.</t>
  </si>
  <si>
    <t xml:space="preserve">RUT-03</t>
  </si>
  <si>
    <t xml:space="preserve">Rutas #8</t>
  </si>
  <si>
    <t xml:space="preserve">Atiende un hallazgo que la matriz aún marca abierto; pendiente de despliegue y validación</t>
  </si>
  <si>
    <t xml:space="preserve">La tarea “Decisiones del Comité” ahora es una bolsa de trabajo abierta a todo el Equipo Técnico (antes se asignaba a una sola persona).</t>
  </si>
  <si>
    <t xml:space="preserve">RUT-14</t>
  </si>
  <si>
    <t xml:space="preserve">Nuevo paso de “Gestión del oficio” en la decisión del comité, indicando quién lo gestiona.</t>
  </si>
  <si>
    <t xml:space="preserve">Se muestra la entidad y la solicitud relacionada en las tarjetas de tareas de enlace territorial.</t>
  </si>
  <si>
    <t xml:space="preserve">RUT-10</t>
  </si>
  <si>
    <t xml:space="preserve">Rutas #5</t>
  </si>
  <si>
    <t xml:space="preserve">Gestión Institucional (Entidades vinculadas al caso)</t>
  </si>
  <si>
    <t xml:space="preserve">Nuevo checklist de obligaciones pendientes por entidad, visible al vincular una entidad al caso.</t>
  </si>
  <si>
    <t xml:space="preserve">Nuevo modal de “Respuesta institucional” para que la entidad registre el estado de su gestión (radicado, ampliación, estado).</t>
  </si>
  <si>
    <t xml:space="preserve">Se crea automáticamente una tarea para la entidad cuando el agente procesa una solicitud institucional.</t>
  </si>
  <si>
    <t xml:space="preserve">Se agregó el campo “N.º de radicado/NUNC/MP” al registrar que la víctima ya acudió a una entidad.</t>
  </si>
  <si>
    <t xml:space="preserve">Se corrigió que el panel de Gestión Institucional se rompía por completo si fallaba una sola de sus fuentes de datos.</t>
  </si>
  <si>
    <t xml:space="preserve">Casos Entidad y Casos Mecanismo (roles externos)</t>
  </si>
  <si>
    <t xml:space="preserve">Nueva pantalla de detalle del caso para el usuario de una entidad (antes el botón “Ver detalle” solo mostraba un aviso de “pendiente”).</t>
  </si>
  <si>
    <t xml:space="preserve">Rutas #11</t>
  </si>
  <si>
    <t xml:space="preserve">Nueva pantalla “Casos Mecanismo” donde el usuario mecanismo ve sus casos activos asignados, con el historial de sus gestiones.</t>
  </si>
  <si>
    <t xml:space="preserve">Estos roles (Entidad, Mecanismo) ya no ven el menú de Reportes ni la lista general de casos; cada uno navega directo a su propia pantalla al iniciar sesión.</t>
  </si>
  <si>
    <t xml:space="preserve">Identificación de Entidades (formularios)</t>
  </si>
  <si>
    <t xml:space="preserve">La sección para registrar entidades a las que la víctima ya acudió ahora también está disponible en Primera Atención, Atención Psicosocial, Cierre y en el Registro de Caso (antes faltaba en esas pantallas).</t>
  </si>
  <si>
    <t xml:space="preserve">Mis Acciones Institucionales (rol Entidad)</t>
  </si>
  <si>
    <t xml:space="preserve">Nueva pantalla para que la entidad vea y complete sus acciones institucionales pendientes, con pestañas de Pendientes y Completadas.</t>
  </si>
  <si>
    <t xml:space="preserve">RUT-16, RUT-17</t>
  </si>
  <si>
    <t xml:space="preserve">Rediseño de la pantalla con tarjetas en rejilla, checklist colapsable y barra de progreso por caso.</t>
  </si>
  <si>
    <t xml:space="preserve">Se corrigió un error que impedía cargar la pantalla cuando la ciudad del filtro no era válida.</t>
  </si>
  <si>
    <t xml:space="preserve">Directorio de Entidades</t>
  </si>
  <si>
    <t xml:space="preserve">Nuevo catálogo de competencias por entidad, para sugerir opciones en los formularios de seguimiento.</t>
  </si>
  <si>
    <t xml:space="preserve">Rutas #7</t>
  </si>
  <si>
    <t xml:space="preserve">Nueva carga masiva del Directorio desde un archivo.</t>
  </si>
  <si>
    <t xml:space="preserve">RUT-02</t>
  </si>
  <si>
    <t xml:space="preserve">Rutas #1-3</t>
  </si>
  <si>
    <t xml:space="preserve">Se corrigió el filtro por departamento, que no encontraba entidades antiguas (incluida Bogotá).</t>
  </si>
  <si>
    <t xml:space="preserve">PSI-15</t>
  </si>
  <si>
    <t xml:space="preserve">Psicosocial #13</t>
  </si>
  <si>
    <t xml:space="preserve">Se corrigieron las etiquetas de ubicación para que coincidan con la jerarquía oficial (Municipio / Centro poblado).</t>
  </si>
  <si>
    <t xml:space="preserve">SEG-16</t>
  </si>
  <si>
    <t xml:space="preserve">Seguimiento #36</t>
  </si>
  <si>
    <t xml:space="preserve">Remisión Psicosocial</t>
  </si>
  <si>
    <t xml:space="preserve">El cierre y la validación de una remisión ya no fallan por datos faltantes.</t>
  </si>
  <si>
    <t xml:space="preserve">PSI-03</t>
  </si>
  <si>
    <t xml:space="preserve">Psicosocial #31, #93</t>
  </si>
  <si>
    <t xml:space="preserve">Se corrigió el botón de contacto inmediato, que ahora abre el formulario de atención en vez de un aviso de “pendiente”.</t>
  </si>
  <si>
    <t xml:space="preserve">PSI-14</t>
  </si>
  <si>
    <t xml:space="preserve">Psicosocial #102</t>
  </si>
  <si>
    <t xml:space="preserve">El buscador de “profesional asignada” ahora solo sugiere profesionales realmente asignados a una remisión.</t>
  </si>
  <si>
    <t xml:space="preserve">PSI-23</t>
  </si>
  <si>
    <t xml:space="preserve">Psicosocial #101</t>
  </si>
  <si>
    <t xml:space="preserve">Se unificó la terminología en toda la interfaz (“Profesional en Psicología” / “Profesional en Trabajo Social” / “Profesional psicosocial” según el contexto).</t>
  </si>
  <si>
    <t xml:space="preserve">PSI-09, PSI-19</t>
  </si>
  <si>
    <t xml:space="preserve">Psicosocial #6, #7</t>
  </si>
  <si>
    <t xml:space="preserve">El detalle de la remisión ahora permite filtrar y ordenar los contactos, y oculta el botón de registrar contacto al supervisor.</t>
  </si>
  <si>
    <t xml:space="preserve">Se exige registrar los criterios y la evidencia de la remisión en todas las formas de crearla, no solo desde el formulario.</t>
  </si>
  <si>
    <t xml:space="preserve">Si en el Primer Contacto la persona no desea continuar, el contacto queda registrado pero la remisión sigue abierta para un nuevo intento, en vez de cerrarse por error. También se corrigió que una sesión podía quedar marcada como “realizada” antes de completarse, duplicando el conteo.</t>
  </si>
  <si>
    <t xml:space="preserve">PSI-21, PSI-01</t>
  </si>
  <si>
    <t xml:space="preserve">Psicosocial #74, #43, #66</t>
  </si>
  <si>
    <t xml:space="preserve">Calendario Psicosocial</t>
  </si>
  <si>
    <t xml:space="preserve">El supervisor ahora puede filtrar el calendario por dupla de profesionales (psicólogo y trabajador social).</t>
  </si>
  <si>
    <t xml:space="preserve">PSI-04</t>
  </si>
  <si>
    <t xml:space="preserve">Psicosocial #70</t>
  </si>
  <si>
    <t xml:space="preserve">El calendario ahora también muestra los seguimientos psicosociales programados automáticamente.</t>
  </si>
  <si>
    <t xml:space="preserve">PSI-12</t>
  </si>
  <si>
    <t xml:space="preserve">Psicosocial #16</t>
  </si>
  <si>
    <t xml:space="preserve">Formularios Psicosociales (Primer Contacto, Atención, Cierre)</t>
  </si>
  <si>
    <t xml:space="preserve">Nueva sección de “Derivación a equipos SALVIA” al final de cada formulario psicosocial, para remitir el caso a otros equipos.</t>
  </si>
  <si>
    <t xml:space="preserve">Se retiraron las preguntas de tipo y número de documento de una sección que ya no las requiere.</t>
  </si>
  <si>
    <t xml:space="preserve">Reporte Ciudadano (formulario público)</t>
  </si>
  <si>
    <t xml:space="preserve">Nueva versión del formulario público de reporte ciudadano, con más pasos y más tipos de reportante disponibles.</t>
  </si>
  <si>
    <t xml:space="preserve">MOC-01</t>
  </si>
  <si>
    <t xml:space="preserve">Reporte Excel Consolidado</t>
  </si>
  <si>
    <t xml:space="preserve">Se agregaron cerca de 30 campos adicionales al reporte consolidado.</t>
  </si>
  <si>
    <t xml:space="preserve">SEG-10</t>
  </si>
  <si>
    <t xml:space="preserve">Seguimiento #1</t>
  </si>
  <si>
    <t xml:space="preserve">Se corrigió un error que mezclaba el tipo y el subtipo de violencia en el reporte.</t>
  </si>
  <si>
    <t xml:space="preserve">SEG-08</t>
  </si>
  <si>
    <t xml:space="preserve">Lista de Casos</t>
  </si>
  <si>
    <t xml:space="preserve">Nueva columna que muestra el avance de los intentos de contacto del seguimiento activo de cada caso.</t>
  </si>
  <si>
    <t xml:space="preserve">SEG-42</t>
  </si>
  <si>
    <t xml:space="preserve">Roles y Permisos</t>
  </si>
  <si>
    <t xml:space="preserve">El Equipo Técnico ahora tiene acceso a “Mis Tareas” y “Lista Casos”.</t>
  </si>
  <si>
    <t xml:space="preserve">Se restringió la pantalla de crear caso solo a los roles de agente correspondientes.</t>
  </si>
  <si>
    <t xml:space="preserve">SEG-50</t>
  </si>
  <si>
    <t xml:space="preserve">Rutas #10</t>
  </si>
  <si>
    <t xml:space="preserve">El rol Operador Territorial Nacional ahora también puede acceder a “Mis Barreras”.</t>
  </si>
  <si>
    <t xml:space="preserve">El rol Mecanismo ya no ve la gestión interna del caso (Derivaciones, Seguimientos, Timeline).</t>
  </si>
  <si>
    <t xml:space="preserve">Administración de Usuarios</t>
  </si>
  <si>
    <t xml:space="preserve">Se agregó el campo “Equipo” (seguimiento general o de riesgo) al crear o editar un usuario con rol Operador de Seguimiento.</t>
  </si>
  <si>
    <t xml:space="preserve">SEG-23</t>
  </si>
  <si>
    <t xml:space="preserve">Ajustes técnicos internos (sin cambios visibles para el usuario)</t>
  </si>
  <si>
    <t xml:space="preserve">Correcciones técnicas tras realizar la fusión de código.</t>
  </si>
  <si>
    <t xml:space="preserve">Nuevo registro de auditoría sobre qué agente queda asignado a cada caso y por qué.</t>
  </si>
  <si>
    <t xml:space="preserve">SEG-03</t>
  </si>
  <si>
    <t xml:space="preserve">Se corrigió que el ambiente de pruebas redirigía por error a la página pública de producción.</t>
  </si>
  <si>
    <t xml:space="preserve">Se unificó la zona horaria del sistema a hora Colombia en los procesos internos.</t>
  </si>
  <si>
    <t xml:space="preserve">SEG-07</t>
  </si>
  <si>
    <t xml:space="preserve">Seguimiento #7</t>
  </si>
  <si>
    <t xml:space="preserve">Fuente: SALVIA_Proximo_Despliegue_a_Main (corte 13-oct-2026) y Matriz_hallazgos_Salvia (revisión Kreivo 8-oct-2026). Los cambios de Enlace Territorial se validan aparte y no están en esta lista. La asociación con bitácora y matriz es por contenido.</t>
  </si>
  <si>
    <t xml:space="preserve">Fecha</t>
  </si>
  <si>
    <t xml:space="preserve">Autor</t>
  </si>
  <si>
    <t xml:space="preserve">Commit</t>
  </si>
  <si>
    <t xml:space="preserve">Cambio en testing</t>
  </si>
  <si>
    <t xml:space="preserve">1dee9b9</t>
  </si>
  <si>
    <t xml:space="preserve">Lista de casos</t>
  </si>
  <si>
    <t xml:space="preserve">Los casos registrados quedan con estado (antes podían quedar sin estado)</t>
  </si>
  <si>
    <t xml:space="preserve">Corrige hallazgo</t>
  </si>
  <si>
    <t xml:space="preserve">1a08a2c</t>
  </si>
  <si>
    <t xml:space="preserve">Listado y Mis Reportes con modal de gestión (cierre, esquema 3x3, reasignación) y Registro V3 completo: Habeas Data, cabezote, 7 módulos, tamizaje, Gestión Salvia y cierre</t>
  </si>
  <si>
    <t xml:space="preserve">Funcionalidad nueva</t>
  </si>
  <si>
    <t xml:space="preserve">2c78f3b</t>
  </si>
  <si>
    <t xml:space="preserve">QA de Registro V3 con Playwright de punta a punta; 8 bugs corregidos y plan de pruebas con 25 casos</t>
  </si>
  <si>
    <t xml:space="preserve">6.1.8, 7.1.5</t>
  </si>
  <si>
    <t xml:space="preserve">M2, H08</t>
  </si>
  <si>
    <t xml:space="preserve">QA</t>
  </si>
  <si>
    <t xml:space="preserve">54d6294</t>
  </si>
  <si>
    <t xml:space="preserve">Formulario de seguimiento V4</t>
  </si>
  <si>
    <t xml:space="preserve">Prototipo del formulario de seguimiento V4 (integrando Salvia Dignidad) a partir del Excel del 14-oct</t>
  </si>
  <si>
    <t xml:space="preserve">Prototipo</t>
  </si>
  <si>
    <t xml:space="preserve">ac99cb5</t>
  </si>
  <si>
    <t xml:space="preserve">Ajustes del prototipo</t>
  </si>
  <si>
    <t xml:space="preserve">9fb40c8</t>
  </si>
  <si>
    <t xml:space="preserve">Salto entre secciones del prototipo</t>
  </si>
  <si>
    <t xml:space="preserve">4f9b633</t>
  </si>
  <si>
    <t xml:space="preserve">Muestra y filtra los estados de caso que la lista dejaba como Desconocido</t>
  </si>
  <si>
    <t xml:space="preserve">3.1.3, 5.1.3</t>
  </si>
  <si>
    <t xml:space="preserve">e09fb2f</t>
  </si>
  <si>
    <t xml:space="preserve">Indicador de atenciones realizadas y agendadas en detalle y remisiones, filtro por estado y nuevo seguimiento con autoasignación para rol an</t>
  </si>
  <si>
    <t xml:space="preserve">Mejora</t>
  </si>
  <si>
    <t xml:space="preserve">b207846</t>
  </si>
  <si>
    <t xml:space="preserve">Abrir el seguimiento desde la cita y mostrar siempre el filtro por dupla</t>
  </si>
  <si>
    <t xml:space="preserve">2b8e270</t>
  </si>
  <si>
    <t xml:space="preserve">Prueba del calendario actualizada tras los seguimientos v2</t>
  </si>
  <si>
    <t xml:space="preserve">6.1.11, 7.1.5</t>
  </si>
  <si>
    <t xml:space="preserve">c139c9d</t>
  </si>
  <si>
    <t xml:space="preserve">664e08c</t>
  </si>
  <si>
    <t xml:space="preserve">Ajustes del prototipo v4</t>
  </si>
  <si>
    <t xml:space="preserve">01246e8</t>
  </si>
  <si>
    <t xml:space="preserve">Rutas y gestión institucional</t>
  </si>
  <si>
    <t xml:space="preserve">Entidades asociadas al DIVIPOLA del municipio en el Directorio</t>
  </si>
  <si>
    <t xml:space="preserve">f921f35</t>
  </si>
  <si>
    <t xml:space="preserve">Migración de las Alcaldías y sus acciones institucionales</t>
  </si>
  <si>
    <t xml:space="preserve">Datos y migración</t>
  </si>
  <si>
    <t xml:space="preserve">69c386e</t>
  </si>
  <si>
    <t xml:space="preserve">Código de ciudad y descripción al crear la entidad Alcaldía</t>
  </si>
  <si>
    <t xml:space="preserve">7f5c2b1 / 654244c</t>
  </si>
  <si>
    <t xml:space="preserve">Inspección de columnas de entity antes de migrar (revertido el mismo día)</t>
  </si>
  <si>
    <t xml:space="preserve">Sin efecto neto</t>
  </si>
  <si>
    <t xml:space="preserve">adc24dc</t>
  </si>
  <si>
    <t xml:space="preserve">Detalle del caso</t>
  </si>
  <si>
    <t xml:space="preserve">Nombre del agente del seguimiento resuelto en backend, seguimientos realizados y pendientes agrupados, sin bloqueo de fecha al iniciar</t>
  </si>
  <si>
    <t xml:space="preserve">11f0970</t>
  </si>
  <si>
    <t xml:space="preserve">Sede asignada al usuario de entidad y cerrar sesión corregido en Casos Entidad y Mis Acciones</t>
  </si>
  <si>
    <t xml:space="preserve">Corrige hallazgo de supervisión</t>
  </si>
  <si>
    <t xml:space="preserve">7bb9d42</t>
  </si>
  <si>
    <t xml:space="preserve">Estilos del detalle de caso entidad en archivo propio</t>
  </si>
  <si>
    <t xml:space="preserve">597d246</t>
  </si>
  <si>
    <t xml:space="preserve">Aparece el campo sucursal al crear un usuario Alcaldía</t>
  </si>
  <si>
    <t xml:space="preserve">d873f7b</t>
  </si>
  <si>
    <t xml:space="preserve">Mis Tareas oculto y bloqueado para el rol entidad (et) en menú, URL y API</t>
  </si>
  <si>
    <t xml:space="preserve">8e80e44</t>
  </si>
  <si>
    <t xml:space="preserve">Cálculo de sobrantes por entidad y no por fila del Excel en la migración</t>
  </si>
  <si>
    <t xml:space="preserve">cf53257</t>
  </si>
  <si>
    <t xml:space="preserve">Sedes de entidad generadas desde el Directorio de Entidades</t>
  </si>
  <si>
    <t xml:space="preserve">127ba07</t>
  </si>
  <si>
    <t xml:space="preserve">Migración de las 38 entidades de la hoja 4 del Formulario de Rutas con sus acciones institucionales</t>
  </si>
  <si>
    <t xml:space="preserve">345b0df</t>
  </si>
  <si>
    <t xml:space="preserve">Sin bloqueo de fecha al abrir el formulario de seguimiento (recordatorio, no regla) y fecha real de ejecución en el detalle</t>
  </si>
  <si>
    <t xml:space="preserve">ea09768</t>
  </si>
  <si>
    <t xml:space="preserve">Ajustes del prototipo: barreras por entidad, activación de ruta e identificación de entidades</t>
  </si>
  <si>
    <t xml:space="preserve">b6756a1</t>
  </si>
  <si>
    <t xml:space="preserve">Ajuste de pregunta condicional del prototipo</t>
  </si>
  <si>
    <t xml:space="preserve">Fuente: commits sin merges de las ramas develop y testing del repositorio SOG_SALVIA entre el 13 y el 23-oct-2026 (testing en PR #132). Ninguno está en main, que sigue sin cambios desde el 10-sep.</t>
  </si>
  <si>
    <t xml:space="preserve">Entregable</t>
  </si>
  <si>
    <t xml:space="preserve">Tipo</t>
  </si>
  <si>
    <t xml:space="preserve">29 commits en testing del 13 al 23-oct (hoja Commits_23oct)</t>
  </si>
  <si>
    <t xml:space="preserve">M1, M2, M4, M5, H08</t>
  </si>
  <si>
    <t xml:space="preserve">6.1.8, 6.1.11, 6.1.12, 6.1.5, 4.2.2, 3.1.3, 5.1.3, 7.1.5</t>
  </si>
  <si>
    <t xml:space="preserve">En testing (QA); pendientes de paso a main y validación por SALVIA</t>
  </si>
  <si>
    <t xml:space="preserve">Registro V3 completo con QA en Playwright; migración de Alcaldías y 38 entidades con acciones institucionales; correcciones del rol entidad pedidas por la supervisión (sede, cerrar sesión, Mis Tareas, estilos, sucursal); prototipo del formulario de seguimiento V4; mejoras de Psicosocial y Seguimiento. Sus horas entran por la hoja Horas_Jira (Sprints 19 a 21).</t>
  </si>
  <si>
    <t xml:space="preserve">Mockup de Reportes, Registro y Alerta Inminente</t>
  </si>
  <si>
    <t xml:space="preserve">Mockup</t>
  </si>
  <si>
    <t xml:space="preserve">M2, M4, M5, M1</t>
  </si>
  <si>
    <t xml:space="preserve">4.4.1, 4.4.2, 4.4.3, 4.4.4, 4.4.5, 4.4.7</t>
  </si>
  <si>
    <t xml:space="preserve">Aprobado por Gestión del Conocimiento (según el equipo)</t>
  </si>
  <si>
    <t xml:space="preserve">Integra el Guion Funcional de Registro v3.0 y el Formulario v5.0: reporte ciudadano, gestión de reportes con recontacto 3x3, registro de la víctima con preguntas OSIGD y ASP, tamizaje de feminicidio con bifurcaciones y puntaje, alerta inminente y envío del caso a Seguimiento. Archivo: Mockup_Reportes_Registro_Alerta.html.</t>
  </si>
  <si>
    <t xml:space="preserve">Formulario de alerta inminente (dentro del mockup de Reportes y Registro)</t>
  </si>
  <si>
    <t xml:space="preserve">M3, M1</t>
  </si>
  <si>
    <t xml:space="preserve">Aprobado con el mockup (según el equipo)</t>
  </si>
  <si>
    <t xml:space="preserve">Activación y reactivación de la alerta inminente desde el caso; conecta con el riesgo inminente de las historias de Medidas de Emergencia (HUE-002 y HUE-004). Relacionado con MOC-06 de la bitácora.</t>
  </si>
  <si>
    <t xml:space="preserve">Historias de usuario de Medidas de Emergencia v1.0</t>
  </si>
  <si>
    <t xml:space="preserve">Historias de usuario</t>
  </si>
  <si>
    <t xml:space="preserve">Entregado; base para el mockup de Medidas</t>
  </si>
  <si>
    <t xml:space="preserve">38 historias en 12 grupos: remisión, riesgo inminente, revisión del Equipo Técnico, bandeja y asignación, consentimiento y caracterización, aprobación, Cruz Roja, seguimiento, matriz de medidas, novedades, conclusión y trazabilidad. No cubren familiares ni personas huérfanas.</t>
  </si>
  <si>
    <t xml:space="preserve">Guía y guion de grabación de los 22 videos del mockup de Reporte y Registro</t>
  </si>
  <si>
    <t xml:space="preserve">Documentación</t>
  </si>
  <si>
    <t xml:space="preserve">Entregados; los videos no se grabaron</t>
  </si>
  <si>
    <t xml:space="preserve">Guía funcional de las 22 partes y guion de grabación clip a clip. Los videos no se grabaron porque el HTML y sus componentes se entregaron directamente al equipo de desarrollo.</t>
  </si>
  <si>
    <t xml:space="preserve">Entrega del HTML del mockup de Reporte y Registro al equipo de desarrollo</t>
  </si>
  <si>
    <t xml:space="preserve">En construcción; paso al servidor de pruebas prevista para finales de la semana del 13-oct o, a más tardar, a mediados de la semana del 20-oct</t>
  </si>
  <si>
    <t xml:space="preserve">El equipo de desarrollo toma el HTML y sus componentes para construir el nuevo Reporte y Registro (formularios de tamizaje, LGBTIQ+ y ASP) en el servidor de pruebas.</t>
  </si>
  <si>
    <t xml:space="preserve">64 cambios listos para el próximo despliegue a main</t>
  </si>
  <si>
    <t xml:space="preserve">Desarrollo y despliegue</t>
  </si>
  <si>
    <t xml:space="preserve">M1, H09</t>
  </si>
  <si>
    <t xml:space="preserve">6.1.5, 6.1.11, 6.1.12 y otros (hoja Despliegue_13oct)</t>
  </si>
  <si>
    <t xml:space="preserve">Listos en la rama; pendientes de despliegue y validación</t>
  </si>
  <si>
    <t xml:space="preserve">Parte del desarrollo de septiembre sí está en TimeLogs; las horas de octubre aún no están registradas. Se menciona para que el avance no dependa solo del registro de horas.</t>
  </si>
  <si>
    <t xml:space="preserve">Videos de uso de SALVIA Web (15), Mapa de navegación e historias de usuario consolidadas</t>
  </si>
  <si>
    <t xml:space="preserve">Videos y documentación</t>
  </si>
  <si>
    <t xml:space="preserve">H10, M1</t>
  </si>
  <si>
    <t xml:space="preserve">6.1.2, 7.1.2, 8.1.2</t>
  </si>
  <si>
    <t xml:space="preserve">Compartidos con la entidad en el cobro de agosto (carpeta 08_2026_Kreivo_Cobro). Según el equipo (28-oct), la entidad los usa en capacitaciones masivas a satisfacción y parte fueron aceptados para producción</t>
  </si>
  <si>
    <t xml:space="preserve">Videos: consulta y gestión de caso, detalle y timeline del caso, iniciar y detallar seguimiento, esquema 3x3, plan automático de contactos, reasignación por supervisor, gestión de tareas, reporte de casos, barreras, notificaciones, ciclo del oficio y rol agente de notificaciones. Fecha: cierre del periodo de cobro de agosto.</t>
  </si>
  <si>
    <t xml:space="preserve">Manuales técnicos de SALVIA (9, en PDF)</t>
  </si>
  <si>
    <t xml:space="preserve">6.1.2, 8.1.2, 8.2.2</t>
  </si>
  <si>
    <t xml:space="preserve">Entregados en la carpeta de Drive del proyecto; pendiente validación por SALVIA. Horas incluidas en octubre dentro de las de Andrés Posada (hoja Horas_Jira)</t>
  </si>
  <si>
    <t xml:space="preserve">Seguimiento; Barreras, notificaciones y oficios; Psicosocial; Reporte, Registro y Alerta inminente; Medidas de Emergencia y Estabilización; Rutas y gestión institucional; Usuarios, roles y permisos; Arquitectura e infraestructura; App MASP. Cada manual marca lo implementado, lo pendiente de main y lo por validar.</t>
  </si>
  <si>
    <t xml:space="preserve">Red de acción SALVIA (mapa interactivo)</t>
  </si>
  <si>
    <t xml:space="preserve">Material de capacitación</t>
  </si>
  <si>
    <t xml:space="preserve">7.1.2, 12.1.1</t>
  </si>
  <si>
    <t xml:space="preserve">Publicada en el tablero de hitos (pipeline.html). Horas incluidas en octubre dentro de las de Andrés Posada (hoja Horas_Jira)</t>
  </si>
  <si>
    <t xml:space="preserve">30 pantallas en cinco familias de roles, traspasos en serie y en paralelo, alerta inminente transversal y 74 capturas de los mockups. Base para capacitar por rol.</t>
  </si>
  <si>
    <t xml:space="preserve">Trabajo realizado que no está registrado, o no completo, en TimeLogs. Se muestra en el tablero como evidencia; no suma ni modifica las horas reportadas.</t>
  </si>
  <si>
    <t xml:space="preserve">Severidad</t>
  </si>
  <si>
    <t xml:space="preserve">Fecha_deteccion</t>
  </si>
  <si>
    <t xml:space="preserve">Fecha_cierre</t>
  </si>
  <si>
    <t xml:space="preserve">Critico</t>
  </si>
  <si>
    <t xml:space="preserve">SEG-1</t>
  </si>
  <si>
    <t xml:space="preserve">Matriz de hallazgos (cliente)</t>
  </si>
  <si>
    <t xml:space="preserve">En Proceso</t>
  </si>
  <si>
    <t xml:space="preserve">Sí</t>
  </si>
  <si>
    <t xml:space="preserve">Sin trazabilidad de asignaciones automáticas - Descarga reporte consolidado: en las pestañas de seguimientos y casos no aparece la columna de que agente tiene el caso actualmente.</t>
  </si>
  <si>
    <t xml:space="preserve">SEG-2</t>
  </si>
  <si>
    <t xml:space="preserve">Cerrado</t>
  </si>
  <si>
    <t xml:space="preserve">Botón de "guardar borrador" se desplegó sin avisar a Laura ni a los agentes — en los despliegues siempre avisarle a lau que funcionalidades nuevas se están subiendo</t>
  </si>
  <si>
    <t xml:space="preserve">SEG-3</t>
  </si>
  <si>
    <t xml:space="preserve">No</t>
  </si>
  <si>
    <t xml:space="preserve">Orden de seguimientos desordenado: Cuando se atiende un caso del cual se hizo las migraciones los seguimientos están quedando supremamente desordenados ej: caso 1122268334 producci</t>
  </si>
  <si>
    <t xml:space="preserve">SEG-4</t>
  </si>
  <si>
    <t xml:space="preserve">Sin severidad</t>
  </si>
  <si>
    <t xml:space="preserve">Sin estado</t>
  </si>
  <si>
    <t xml:space="preserve">- Migración</t>
  </si>
  <si>
    <t xml:space="preserve">SEG-5</t>
  </si>
  <si>
    <t xml:space="preserve">- Reasignación de 3x3 - pasa al sigueitne seguimiento</t>
  </si>
  <si>
    <t xml:space="preserve">SEG-6</t>
  </si>
  <si>
    <t xml:space="preserve">- + Nuevo seguimiento - agrega uno al final de la cola</t>
  </si>
  <si>
    <t xml:space="preserve">SEG-4-b</t>
  </si>
  <si>
    <t xml:space="preserve">Baja</t>
  </si>
  <si>
    <t xml:space="preserve">Pregúntas del formulario de seguimietno no se arrastran al resumen: hay preguntas del formulario de seguimiento que deben estar en el resumen del seguimiento, esto lo indico lau ha</t>
  </si>
  <si>
    <t xml:space="preserve">SEG-5-b</t>
  </si>
  <si>
    <t xml:space="preserve">Botón "atrás" funciona mal: al salir del caso y dar "atrás", en vez de volver a la lista de casos manda al reporte; y desde seguimientos manda a información general en vez de un pa</t>
  </si>
  <si>
    <t xml:space="preserve">SEG-6-b</t>
  </si>
  <si>
    <t xml:space="preserve">Etiquetas de equipo incorrectas: los equipos aparecen como "riesgo bajo" / "riesgo alto" en la pantalla de lista de casos, pero deberían llamarse "equipo de seguimiento general" (B</t>
  </si>
  <si>
    <t xml:space="preserve">SEG-7</t>
  </si>
  <si>
    <t xml:space="preserve">Al realizar la descarga del consolidado de seguimiento se registra un desfase horario respecto a la hora en que efectivamente se realiza el registro de la acción. La plataforma tie</t>
  </si>
  <si>
    <t xml:space="preserve">SEG-8</t>
  </si>
  <si>
    <t xml:space="preserve">Lista de tareas de les agentes. No les aparece a los agentes de seguimiento (estaba oculta)</t>
  </si>
  <si>
    <t xml:space="preserve">SEG-9</t>
  </si>
  <si>
    <t xml:space="preserve">Existe un limite de caracteres para los formularios de tareas, esto debe ampliarse</t>
  </si>
  <si>
    <t xml:space="preserve">Antes de junio no deja descargar datos. Pendiente revisión de las variables por parte de Gestión del Conocimiento. El miércoles se envió correo.</t>
  </si>
  <si>
    <t xml:space="preserve">Limite de seguimientos</t>
  </si>
  <si>
    <t xml:space="preserve">SEG-12</t>
  </si>
  <si>
    <t xml:space="preserve">LLave de busqueda de nombre</t>
  </si>
  <si>
    <t xml:space="preserve">SEG-13</t>
  </si>
  <si>
    <t xml:space="preserve">Video enviado el 10-08 a las 7pm. No dejo registrar el + Nuevo por fecha</t>
  </si>
  <si>
    <t xml:space="preserve">SEG-14</t>
  </si>
  <si>
    <t xml:space="preserve">El formulario no contiene información de los Excel y no se encuentra migrado un registro en Kobo que si se ubico. 1000118689</t>
  </si>
  <si>
    <t xml:space="preserve">SEG-15</t>
  </si>
  <si>
    <t xml:space="preserve">Casos asignados a una agente no le permite regsitrar sus seguimientos. Esto se solucionó inicialmente con el "+ Nuevo Seguimiento". Ejemplo. Sara 1036644826 (sin seg) y 1075303225 </t>
  </si>
  <si>
    <t xml:space="preserve">Logro registrar caso sin registrar el seguimiento a barreras y tenia una barrera registrada previamente. Ver el seguimiento 2. 1030529554</t>
  </si>
  <si>
    <t xml:space="preserve">SEG-17</t>
  </si>
  <si>
    <t xml:space="preserve">No despliega Municipio ni departamento para registrar barrera. Lo reporto Andres Barboza. Adicionalmente, cuando uno va a consultar no permite ver esta información.</t>
  </si>
  <si>
    <t xml:space="preserve">SEG-21</t>
  </si>
  <si>
    <t xml:space="preserve">Tampoco se visualiza el seguimiento a la barrera y parece que si se registro</t>
  </si>
  <si>
    <t xml:space="preserve">SEG-18</t>
  </si>
  <si>
    <t xml:space="preserve">* En pruebas vi el formulario de registro de entidad y nos hace falta la pregunta u opción de que si la persona refiere que no desea activación aún asi en algunas ocasiones va a re</t>
  </si>
  <si>
    <t xml:space="preserve">SEG-19</t>
  </si>
  <si>
    <t xml:space="preserve">Formulario de seguimiento - actualizarlo con el fin de cambiar algunas terminologias, incluir Salvia dignidad y la gestión del caso sin barreras.</t>
  </si>
  <si>
    <t xml:space="preserve">Cuenta con 7 intentos efectivos de contacto el mismo dia (09/06/2026), y no cuenta con ningun formulario de  seguimientos registrado.  CC 1070627387.</t>
  </si>
  <si>
    <t xml:space="preserve">SEG-21-b</t>
  </si>
  <si>
    <t xml:space="preserve">Funcionalidad de reapertura del caso.</t>
  </si>
  <si>
    <t xml:space="preserve">SEG-22</t>
  </si>
  <si>
    <t xml:space="preserve">Los tiempos de seguimiento como recordatorio mas que como regla, me debe permitir registrar seguimientos en cualquier momento por la dinámica de los casos.</t>
  </si>
  <si>
    <t xml:space="preserve">Rol de Equipo técnico permite agendar tarea al de seguimiento y queda la trazabilidad de la gestión de esta.</t>
  </si>
  <si>
    <t xml:space="preserve">SEG-24</t>
  </si>
  <si>
    <t xml:space="preserve">1097990913 Ciudadana Liliana Gutierres, caso en el que se registran barreras pero no quedan tareas</t>
  </si>
  <si>
    <t xml:space="preserve">SEG-25</t>
  </si>
  <si>
    <t xml:space="preserve">Eliminar condicional de oficio de cierre. Cuando se realiza una conclusión del caso se generaba una tarea de oficio de cierre a todos los casos. Esta decisión es discrecional. No e</t>
  </si>
  <si>
    <t xml:space="preserve">En el nuevo boton de crear seguimiento, util, peroo.. envia de inmediato como si hubiera sido efectivo, es decir, se salta el 3x3</t>
  </si>
  <si>
    <t xml:space="preserve">SEG-27</t>
  </si>
  <si>
    <t xml:space="preserve">Agente Alcira entra a Mis Casos, y dentro de sus casos hay algunos que corresponden a otros agentes</t>
  </si>
  <si>
    <t xml:space="preserve">SEG-28</t>
  </si>
  <si>
    <t xml:space="preserve">Cambio de derivaciones por atención SALVIA y colocar intervenientes</t>
  </si>
  <si>
    <t xml:space="preserve">Cada proceso debe ir al detalle de gestion de cada profesional</t>
  </si>
  <si>
    <t xml:space="preserve">SEG-30</t>
  </si>
  <si>
    <t xml:space="preserve">Orden con las fechas de seguimiento (en el orden en el que se realizan la acción).</t>
  </si>
  <si>
    <t xml:space="preserve">Los seguimientos que no se realicen a tiempo, deben marcarse como "No realizo - vencido". Suprimir el número, el número debe corresponder a los efectivos</t>
  </si>
  <si>
    <t xml:space="preserve">Agregar botón (lista desplegable) en el módulo de barreras (sección identificación de barreras).  Y de aquí en adelante, en todas las secciones que tengan más de tres opciones de r</t>
  </si>
  <si>
    <t xml:space="preserve">SEG-33</t>
  </si>
  <si>
    <t xml:space="preserve">En la sección "identificación de barreras"  ciudad, municipio y entidades no sale lo que se guarda en el formulario. No arrastra la info</t>
  </si>
  <si>
    <t xml:space="preserve">SEG-34</t>
  </si>
  <si>
    <t xml:space="preserve">El botón "reabrir" casos debe ser asociado a los roles de supervisión. Debe incluirse un cajón para explicar la razón de reapertura.</t>
  </si>
  <si>
    <t xml:space="preserve">SEG-35</t>
  </si>
  <si>
    <t xml:space="preserve">Si se intenta alguna acción con un caso cerrado, se debe generar una alerta de la imposibilidad de hacerlo por su estado "cerrado", por ejemplo, entrar al formulario de seguimiento</t>
  </si>
  <si>
    <t xml:space="preserve">SEG-36</t>
  </si>
  <si>
    <t xml:space="preserve">Revisar DIVIPOLA para municipio y centro poblado. Donde dice Ciudad, debe decir municipio y donde dice municipio, son centros poblados. Están bien los desplegables, corregir los tí</t>
  </si>
  <si>
    <t xml:space="preserve">SEG-37</t>
  </si>
  <si>
    <t xml:space="preserve">Asociar la entidad al DIVIPOLA</t>
  </si>
  <si>
    <t xml:space="preserve">SEG-38</t>
  </si>
  <si>
    <t xml:space="preserve">Registrar la barrera al mismo tiempo que se registra la entidad.</t>
  </si>
  <si>
    <t xml:space="preserve">SEG-39</t>
  </si>
  <si>
    <t xml:space="preserve">En la sección "Conclusión del ciclo de atención" eliminar "indique las gestiones institucionales  ..."</t>
  </si>
  <si>
    <t xml:space="preserve">SEG-40</t>
  </si>
  <si>
    <t xml:space="preserve">Orden de seguimiento:</t>
  </si>
  <si>
    <t xml:space="preserve">SEG-45</t>
  </si>
  <si>
    <t xml:space="preserve">Valoración del riesgo</t>
  </si>
  <si>
    <t xml:space="preserve">SEG-46</t>
  </si>
  <si>
    <t xml:space="preserve">Identificación de entidades</t>
  </si>
  <si>
    <t xml:space="preserve">SEG-47</t>
  </si>
  <si>
    <t xml:space="preserve">Seguimiento a entidades</t>
  </si>
  <si>
    <t xml:space="preserve">SEG-48</t>
  </si>
  <si>
    <t xml:space="preserve">Identificación de barreras</t>
  </si>
  <si>
    <t xml:space="preserve">SEG-49</t>
  </si>
  <si>
    <t xml:space="preserve">Seguimiento a barreras</t>
  </si>
  <si>
    <t xml:space="preserve">Seguimiento de caso</t>
  </si>
  <si>
    <t xml:space="preserve">SEG-51</t>
  </si>
  <si>
    <t xml:space="preserve">Conclusión del ciclo de atención</t>
  </si>
  <si>
    <t xml:space="preserve">SEG-41</t>
  </si>
  <si>
    <t xml:space="preserve">En la pestaña "Derivaciones", del apartado "profesionales de atención" no es necesario ver "Notas".</t>
  </si>
  <si>
    <t xml:space="preserve">Crítica</t>
  </si>
  <si>
    <t xml:space="preserve">Se realiza el diligenciamiento de un formulario de seguimiento de los siguientes casos con el fin de probar Notificaciones, para esto se realizó el registro y ademas se seleccionar</t>
  </si>
  <si>
    <t xml:space="preserve">SEG-43</t>
  </si>
  <si>
    <t xml:space="preserve">Contrario al anterior, Brayan, con usuaio de agente integral, registro un seguimiento de este caso 1095942131, al registrarlo selecciono que realizó orientación, sin embargo, el si</t>
  </si>
  <si>
    <t xml:space="preserve">PSI-1</t>
  </si>
  <si>
    <t xml:space="preserve">Psicosocial</t>
  </si>
  <si>
    <t xml:space="preserve">No aparece la opción "Psicosocial" en filtro "por equipos"</t>
  </si>
  <si>
    <t xml:space="preserve">PSI-2</t>
  </si>
  <si>
    <t xml:space="preserve">Agregar opcion "administrar profesionales" para usuario de coordinación</t>
  </si>
  <si>
    <t xml:space="preserve">PSI-3</t>
  </si>
  <si>
    <t xml:space="preserve">No aparecen las duplas para la asignación de casos de acuerdo a las profesionales en dupla diponibles</t>
  </si>
  <si>
    <t xml:space="preserve">PSI-4</t>
  </si>
  <si>
    <t xml:space="preserve">cambiar en creación de Duplas "Psicologa" por "profesionale en Psicología" y "Trabajadora social" por "profesional en Trabajo Social"</t>
  </si>
  <si>
    <t xml:space="preserve">PSI-5</t>
  </si>
  <si>
    <t xml:space="preserve">Aparece el término "paciente" y no cuidadana.</t>
  </si>
  <si>
    <t xml:space="preserve">PSI-6</t>
  </si>
  <si>
    <t xml:space="preserve">Aparece el término "psicóloga" y no profesional psicosocial.</t>
  </si>
  <si>
    <t xml:space="preserve">PSI-5-b</t>
  </si>
  <si>
    <t xml:space="preserve">Se registra de manera erronea la profesión de las Trabajadoras Sociales, aparece "psicóloga".</t>
  </si>
  <si>
    <t xml:space="preserve">PSI-8</t>
  </si>
  <si>
    <t xml:space="preserve">Aparece el término "sesión" y no atención.</t>
  </si>
  <si>
    <t xml:space="preserve">PSI-9</t>
  </si>
  <si>
    <t xml:space="preserve">Consentimiento informado está incompleto.</t>
  </si>
  <si>
    <t xml:space="preserve">PSI-10</t>
  </si>
  <si>
    <t xml:space="preserve">Consentimiento de la persona de apoyo aparece como obligatorio, éste no debe ser  un item obligatorio. ya que no se realiza en todos los casos.</t>
  </si>
  <si>
    <t xml:space="preserve">PSI-11</t>
  </si>
  <si>
    <t xml:space="preserve">EL consentimiento informado debe aparecer solo en la primera atención.</t>
  </si>
  <si>
    <t xml:space="preserve">El caso asignado para Jose Felipe Calixto identificado  con C.C1014223917 se triplica en la base de remisiones.</t>
  </si>
  <si>
    <t xml:space="preserve">PSI-13</t>
  </si>
  <si>
    <t xml:space="preserve">En la pestaña de Directorio de entidades no filtra las instituciones que uno busca por departamento - ciudad (EJ: se buscó comisarias de Bogotá sin resultado alguno)</t>
  </si>
  <si>
    <t xml:space="preserve">En la plataforma de remisión de casos, pestaña "Registrar Intentos": si la persona contesta y valida el consentimiento informado, seleccionar "De inmediato" en la pregunta ¿Cuándo </t>
  </si>
  <si>
    <t xml:space="preserve">En primera atención al continuar solicita información de barreras y anteriormente se habia marcado que NO.</t>
  </si>
  <si>
    <t xml:space="preserve">PSI-16</t>
  </si>
  <si>
    <t xml:space="preserve">El seguimiento que aparece en el calendario no deriva directo al seguimiento.</t>
  </si>
  <si>
    <t xml:space="preserve">PSI-17</t>
  </si>
  <si>
    <t xml:space="preserve">Cuando se elige "proxima atención"  y se despliega el calendario, al seleccionar el calendario aparece que no hay disponibilidad. Que hay algo agendado.</t>
  </si>
  <si>
    <t xml:space="preserve">PSI-18</t>
  </si>
  <si>
    <t xml:space="preserve">53074151 - No permite visualizar el formulario de atenciones impares</t>
  </si>
  <si>
    <t xml:space="preserve">PSI-19</t>
  </si>
  <si>
    <t xml:space="preserve">No permite avanzar del formulario de registrar barreras al de Primera atención - 3134914154</t>
  </si>
  <si>
    <t xml:space="preserve">PSI-20</t>
  </si>
  <si>
    <t xml:space="preserve">En Derivaciones registrar el campo de Observaciones del fomrulario para que sea visible al analisis del caso.</t>
  </si>
  <si>
    <t xml:space="preserve">PSI-21</t>
  </si>
  <si>
    <t xml:space="preserve">no permite crear profesionales ni duplas para la atención (en rol coordinación), por tanto no permite la asignación de casos, agregar botón administrar profesionales</t>
  </si>
  <si>
    <t xml:space="preserve">PSI-22</t>
  </si>
  <si>
    <t xml:space="preserve">Corregir en "administrar duplas":  Cada profesional en Psicología puede pertenecer a una sola dupla; cada profesional en Trabajo Social puede puede pertenecer a una sola dupla. Dad</t>
  </si>
  <si>
    <t xml:space="preserve">en agenda el dia viernes aparece como "rivalizar"</t>
  </si>
  <si>
    <t xml:space="preserve">PSI-24</t>
  </si>
  <si>
    <t xml:space="preserve">no permite en rol de coordinación ver las agendas de las profesionales psicosociales</t>
  </si>
  <si>
    <t xml:space="preserve">PSI-25</t>
  </si>
  <si>
    <t xml:space="preserve">no permite en rol de coordinación filtrar por número de documento</t>
  </si>
  <si>
    <t xml:space="preserve">PSI-26</t>
  </si>
  <si>
    <t xml:space="preserve">en el rol de psicosocial no esta la opción lista de casos, por lo que no permite la consulta de casos previamente asignados al despliegue</t>
  </si>
  <si>
    <t xml:space="preserve">PSI-27</t>
  </si>
  <si>
    <t xml:space="preserve">Solo en algunos casos sale la información de cúal equipo y profesional  esta remitiendo.</t>
  </si>
  <si>
    <t xml:space="preserve">PSI-28</t>
  </si>
  <si>
    <t xml:space="preserve">En el apartado de la información de la remisión, aparece "🔒 Preferencia de horario de la cuidadora (solo equipo psicosocial)" Cambiar  la palabra cuidadora, por "ciudadana"</t>
  </si>
  <si>
    <t xml:space="preserve">PSI-29</t>
  </si>
  <si>
    <t xml:space="preserve">No permite realizar devolución de los casos asignados.</t>
  </si>
  <si>
    <t xml:space="preserve">PSI-30</t>
  </si>
  <si>
    <t xml:space="preserve">Al consultar posteriormente la información del caso, se evidencia que el sistema Salvia no refleja de manera adecuada la información registrada durante los intentos de contacto, es</t>
  </si>
  <si>
    <t xml:space="preserve">PSI-31</t>
  </si>
  <si>
    <t xml:space="preserve">Al finalizar el registro de los intentos de contacto, el sistema Salvia no habilita la opción para realizar el cierre del caso, aun cuando ya se cuenta con la información necesaria</t>
  </si>
  <si>
    <t xml:space="preserve">PSI-32</t>
  </si>
  <si>
    <t xml:space="preserve">No aparece la opción de validar para recepcionar el caso con C.C. 1002595679</t>
  </si>
  <si>
    <t xml:space="preserve">PSI-33</t>
  </si>
  <si>
    <t xml:space="preserve">No aparece la opción de validar para recepcionar / devolver el caso con C.C. 1080292921</t>
  </si>
  <si>
    <t xml:space="preserve">PSI-34</t>
  </si>
  <si>
    <t xml:space="preserve">No aparece la opción de validar para recepcionar / devolver el caso con C.C. 52281134</t>
  </si>
  <si>
    <t xml:space="preserve">PSI-35</t>
  </si>
  <si>
    <t xml:space="preserve">No aparece la opción de validar para recepcionar / devolver el caso con CC: 1067596642</t>
  </si>
  <si>
    <t xml:space="preserve">PSI-36</t>
  </si>
  <si>
    <t xml:space="preserve">No aparece la opción de validar para recepcionar / devolver el caso con CC: 1144136810</t>
  </si>
  <si>
    <t xml:space="preserve">PSI-37</t>
  </si>
  <si>
    <t xml:space="preserve">No aparece la opción de validar para recepcionar / devolver el caso con CC: 1006596731</t>
  </si>
  <si>
    <t xml:space="preserve">PSI-38</t>
  </si>
  <si>
    <t xml:space="preserve">No aparece la opción de validar para recepcionar / devolver el caso con CC: 1093795028</t>
  </si>
  <si>
    <t xml:space="preserve">PSI-39</t>
  </si>
  <si>
    <t xml:space="preserve">No aparece la opción de validar para recepcionar / devolver el caso con cc: 1022944966</t>
  </si>
  <si>
    <t xml:space="preserve">PSI-40</t>
  </si>
  <si>
    <t xml:space="preserve">No aparece la opción de validar para recepcionar / devolver el caso con cc: 1035433565</t>
  </si>
  <si>
    <t xml:space="preserve">PSI-41</t>
  </si>
  <si>
    <t xml:space="preserve">No aparece la opción de validar para recepcionar el caso con cc: 29360591</t>
  </si>
  <si>
    <t xml:space="preserve">PSI-42</t>
  </si>
  <si>
    <t xml:space="preserve">No aparece el consentimiento informado, aparece "texto de prueba"</t>
  </si>
  <si>
    <t xml:space="preserve">PSI-43</t>
  </si>
  <si>
    <t xml:space="preserve">Se llena el contenido de la primera ateción a la ciudadana CC: 42143519. Sin embargo en SALVIA aparecen 2 registros, además cuenta 4 atenciones de 6 (pero la ciudadana solo lleva u</t>
  </si>
  <si>
    <t xml:space="preserve">PSI-44</t>
  </si>
  <si>
    <t xml:space="preserve">El apellido de la profesional identificada con cédula 1000832586 es Quimbay, no Kimbay.</t>
  </si>
  <si>
    <t xml:space="preserve">PSI-45</t>
  </si>
  <si>
    <t xml:space="preserve">No aparece la opción de validar para recepcionar el caso con cc: 1053803128</t>
  </si>
  <si>
    <t xml:space="preserve">PSI-46</t>
  </si>
  <si>
    <t xml:space="preserve">No aparece la opción de validar para recepcionar el caso con cc: 1007694208</t>
  </si>
  <si>
    <t xml:space="preserve">PSI-47</t>
  </si>
  <si>
    <t xml:space="preserve">No aparece la opción de validar para recepcionar / devolver el caso con cc: 1011201166</t>
  </si>
  <si>
    <t xml:space="preserve">PSI-48</t>
  </si>
  <si>
    <t xml:space="preserve">No aparece la opción de validar para recepcionar / devolver el caso con cc: 1035439381</t>
  </si>
  <si>
    <t xml:space="preserve">PSI-49</t>
  </si>
  <si>
    <t xml:space="preserve">No aparece la opción de validar para recepcionar / devolver el caso con cc1104698789</t>
  </si>
  <si>
    <t xml:space="preserve">PSI-50</t>
  </si>
  <si>
    <t xml:space="preserve">No aparece la opción de validar para recepcionar / devolver el caso con cc 1039456644</t>
  </si>
  <si>
    <t xml:space="preserve">PSI-51</t>
  </si>
  <si>
    <t xml:space="preserve">No aparece la opción de validar para recepcionar / devolver el caso con cc 39780261</t>
  </si>
  <si>
    <t xml:space="preserve">PSI-52</t>
  </si>
  <si>
    <t xml:space="preserve">No aparece la opción de validar para recepcionar / devolver el caso con cc 1094167760</t>
  </si>
  <si>
    <t xml:space="preserve">PSI-53</t>
  </si>
  <si>
    <t xml:space="preserve">No aparece la opción de validar para recepcionar / devolver el caso con cc  1026308087</t>
  </si>
  <si>
    <t xml:space="preserve">PSI-54</t>
  </si>
  <si>
    <t xml:space="preserve">No aparece la opción de validar para recepcionar / devolver el caso con cc 1007386229</t>
  </si>
  <si>
    <t xml:space="preserve">PSI-55</t>
  </si>
  <si>
    <t xml:space="preserve">No aparece la opción de validar para recepcionar / devolver el caso con cc  1002595679</t>
  </si>
  <si>
    <t xml:space="preserve">PSI-56</t>
  </si>
  <si>
    <t xml:space="preserve">No aparece la opción de validar para recepcionar / devolver el caso con cc 1121965459</t>
  </si>
  <si>
    <t xml:space="preserve">PSI-57</t>
  </si>
  <si>
    <t xml:space="preserve">No aparece la opción de validar para recepcionar / devolver el caso con cc 1002441200</t>
  </si>
  <si>
    <t xml:space="preserve">PSI-58</t>
  </si>
  <si>
    <t xml:space="preserve">PSI-59</t>
  </si>
  <si>
    <t xml:space="preserve">No aparece la opción de validar para recepcionar / devolver el caso con cc 1066348196</t>
  </si>
  <si>
    <t xml:space="preserve">PSI-60</t>
  </si>
  <si>
    <t xml:space="preserve">No aparece la opción de validar para recepcionar / devolver el caso con cc 1020789502</t>
  </si>
  <si>
    <t xml:space="preserve">PSI-61</t>
  </si>
  <si>
    <t xml:space="preserve">No aparece la opción de validar para recepcionar / devolver el caso con cc 1097990913</t>
  </si>
  <si>
    <t xml:space="preserve">PSI-62</t>
  </si>
  <si>
    <t xml:space="preserve">No aparece la opción de validar para recepcionar / devolver el caso con 26280069</t>
  </si>
  <si>
    <t xml:space="preserve">PSI-63</t>
  </si>
  <si>
    <t xml:space="preserve">No aparece la opción de validar para recepcionar / devolver el caso con cc 1093795028</t>
  </si>
  <si>
    <t xml:space="preserve">PSI-64</t>
  </si>
  <si>
    <t xml:space="preserve">No aparece la opción de validar para recepcionar / devolver el caso con cc  29360591</t>
  </si>
  <si>
    <t xml:space="preserve">PSI-65</t>
  </si>
  <si>
    <t xml:space="preserve">cc 1006596731, en el timeline indica "Remisión validada por Psicologo Testing (NO ASIGNAR-PRUEBAS)", y aparece agenda una atención.</t>
  </si>
  <si>
    <t xml:space="preserve">PSI-66</t>
  </si>
  <si>
    <t xml:space="preserve">cc 1016094608 Al terminar de llenar la primera atención aparece como si se hubiera realizado el seguimiento 2 y 3  muestra estos registros generados automaticos vacios con 7 minuto</t>
  </si>
  <si>
    <t xml:space="preserve">PSI-67</t>
  </si>
  <si>
    <t xml:space="preserve">El caso de la cíudadana 1082910770 se encuentra creado en Salvia 2 veces con la misma fecha 2026-09-14.  Solo uno de los casos cuenta con contenido. (ver evidencia 74)</t>
  </si>
  <si>
    <t xml:space="preserve">PSI-68</t>
  </si>
  <si>
    <t xml:space="preserve">No aparece la opción de validar para recepcionar / devolver el caso con cc  52855173</t>
  </si>
  <si>
    <t xml:space="preserve">PSI-69</t>
  </si>
  <si>
    <t xml:space="preserve">No aparece la opción de validar para recepcionar / devolver el caso con cc  1129530412</t>
  </si>
  <si>
    <t xml:space="preserve">PSI-70</t>
  </si>
  <si>
    <t xml:space="preserve">en rol supervición: calendario: filtro visualización: no deja visualizar calendario por dupla, solo de manera individual por profesional</t>
  </si>
  <si>
    <t xml:space="preserve">PSI-71</t>
  </si>
  <si>
    <t xml:space="preserve">en rol supervición: calendario: no aparece en las atenciones realizadas, por cuál dupla o profesional fue realizada</t>
  </si>
  <si>
    <t xml:space="preserve">PSI-72</t>
  </si>
  <si>
    <t xml:space="preserve">No aparece la opción de validar para recepcionar / devolver el caso con cc  1007932007</t>
  </si>
  <si>
    <t xml:space="preserve">PSI-73</t>
  </si>
  <si>
    <t xml:space="preserve">No aparece la opción de validar para recepcionar / devolver el caso con cc  1101758988</t>
  </si>
  <si>
    <t xml:space="preserve">PSI-74</t>
  </si>
  <si>
    <t xml:space="preserve">Ciudadana no acepta la atención en la primera llamada y no es posible diligenciar en la plataforma. casó con CC 1000777687</t>
  </si>
  <si>
    <t xml:space="preserve">PSI-75</t>
  </si>
  <si>
    <t xml:space="preserve">No aparece la opción de validar para recepcionar / devolver el caso con cc  1056410645</t>
  </si>
  <si>
    <t xml:space="preserve">PSI-76</t>
  </si>
  <si>
    <t xml:space="preserve">No aparece la opción de validar para recepcionar / devolver el caso con cc  1007237446</t>
  </si>
  <si>
    <t xml:space="preserve">PSI-77</t>
  </si>
  <si>
    <t xml:space="preserve">No aparece la opción de validar para recepcionar / devolver el caso con cc 52142840</t>
  </si>
  <si>
    <t xml:space="preserve">PSI-78</t>
  </si>
  <si>
    <t xml:space="preserve">No aparece la opción de validar para recepcionar / devolver el caso con cc: 1037639726</t>
  </si>
  <si>
    <t xml:space="preserve">PSI-79</t>
  </si>
  <si>
    <t xml:space="preserve">No aparece la opción de validar para recepcionar / devolver el caso con cc 1090494051</t>
  </si>
  <si>
    <t xml:space="preserve">PSI-80</t>
  </si>
  <si>
    <t xml:space="preserve">No aparece la opción de validar para recepcionar / devolver el caso con cc: 1007568591</t>
  </si>
  <si>
    <t xml:space="preserve">PSI-81</t>
  </si>
  <si>
    <t xml:space="preserve">No aparece la opción de validar para recepcionar / devolver el caso con cc 1007324610</t>
  </si>
  <si>
    <t xml:space="preserve">PSI-82</t>
  </si>
  <si>
    <t xml:space="preserve">No aparece la opción de validar para recepcionar / devolver el caso con cc: 1026303926</t>
  </si>
  <si>
    <t xml:space="preserve">PSI-83</t>
  </si>
  <si>
    <t xml:space="preserve">No aparece el caso con cc 1106784625 remitido para la atención psicosocial, y cuenta con remisión manual</t>
  </si>
  <si>
    <t xml:space="preserve">PSI-84</t>
  </si>
  <si>
    <t xml:space="preserve">No aparece el caso con cc 53178383 remitido para la atención psicosocial, y cuenta con remisión manual</t>
  </si>
  <si>
    <t xml:space="preserve">PSI-85</t>
  </si>
  <si>
    <t xml:space="preserve">Agregar profesional psicosocial- trabajo social Agria Victoria Castillo  CC 1023977487 castilloquevedovictoria@gmail.com</t>
  </si>
  <si>
    <t xml:space="preserve">PSI-86</t>
  </si>
  <si>
    <t xml:space="preserve">No aparece el caso con cc 43839265 remitido para la atención psicosocial, y cuenta con remisión manual</t>
  </si>
  <si>
    <t xml:space="preserve">PSI-87</t>
  </si>
  <si>
    <t xml:space="preserve">No aparece el caso con cc 53046975 remitido para la atención psicosocial, y cuenta con remisión manual</t>
  </si>
  <si>
    <t xml:space="preserve">PSI-88</t>
  </si>
  <si>
    <t xml:space="preserve">Caso con dos registros en mi salvia CC 55063866</t>
  </si>
  <si>
    <t xml:space="preserve">PSI-89</t>
  </si>
  <si>
    <t xml:space="preserve">No aparece la opción de validar para recepcionar / devolver el caso con cc:   1155145</t>
  </si>
  <si>
    <t xml:space="preserve">PSI-90</t>
  </si>
  <si>
    <t xml:space="preserve">No aparece la opción de validar para recepcionar / devolver el caso con cc 1010038161</t>
  </si>
  <si>
    <t xml:space="preserve">PSI-91</t>
  </si>
  <si>
    <t xml:space="preserve">No aparece la opción de validar para recepcionar / devolver el caso con cc 5656732</t>
  </si>
  <si>
    <t xml:space="preserve">PSI-92</t>
  </si>
  <si>
    <t xml:space="preserve">No aparece el caso con cc 5656732 remitido para la atención psicosocial, y cuenta con remisión manual</t>
  </si>
  <si>
    <t xml:space="preserve">PSI-93</t>
  </si>
  <si>
    <t xml:space="preserve">No aparece la opción de validar para recepcionar / devolver el caso con cc 53046975</t>
  </si>
  <si>
    <t xml:space="preserve">PSI-94</t>
  </si>
  <si>
    <t xml:space="preserve">No permite realizar el cierre del caso por imposibilidad de contacto  CC 1039860672 se agrega link de evidencia https://onedrive.live.com/?viewid=da649f24%2Def9a%2D4b50%2D91cd%2D05</t>
  </si>
  <si>
    <t xml:space="preserve">PSI-95</t>
  </si>
  <si>
    <t xml:space="preserve">No permite realizar cierre del caso por imposibilidad de contacto CC 1066179689  se agrefa link de evidencia https://onedrive.live.com/?viewid=da649f24%2Def9a%2D4b50%2D91cd%2D0549e</t>
  </si>
  <si>
    <t xml:space="preserve">PSI-96</t>
  </si>
  <si>
    <t xml:space="preserve">No aparece la opcion de cierre de caso por imposibilidad de contacto se agrega link de evidencia CC 1073510110</t>
  </si>
  <si>
    <t xml:space="preserve">PSI-97</t>
  </si>
  <si>
    <t xml:space="preserve">https://onedrive.live.com/?viewid=da649f24%2Def9a%2D4b50%2D91cd%2D0549e42cdbb6&amp;redeem=aHR0cHM6Ly8xZHJ2Lm1zL2YvYy8yOTBlMjczMTcyNzdkNDE2L0lnQllkVGNncVZ3d1I2dC1xWjBsd19NdUFiU1dpTU9RX0</t>
  </si>
  <si>
    <t xml:space="preserve">PSI-97-b</t>
  </si>
  <si>
    <t xml:space="preserve">No permite cerrar el caso 65746742 CLAUDIA ESNEIDER CRUZ PAVA</t>
  </si>
  <si>
    <t xml:space="preserve">PSI-98</t>
  </si>
  <si>
    <t xml:space="preserve">No permite cerrar el caso  YESICA CAROLINA GUZMAN YARA Doc: 1097729111·Tel: 3128449819</t>
  </si>
  <si>
    <t xml:space="preserve">PSI-99</t>
  </si>
  <si>
    <t xml:space="preserve">No permite cerrar el caso YURI 1069583605 NO deja cerrar el caso</t>
  </si>
  <si>
    <t xml:space="preserve">PSI-100</t>
  </si>
  <si>
    <t xml:space="preserve">No permite cerrar el caso 1053341109  No deja cerra el caso</t>
  </si>
  <si>
    <t xml:space="preserve">PSI-101</t>
  </si>
  <si>
    <t xml:space="preserve">No  permite asignar a la entidad que debe asignarse la barrera en el apartado de Barreras Identificadas.  C.C: 1140818756 //Nombre:estefany pamela montilla</t>
  </si>
  <si>
    <t xml:space="preserve">PSI-102</t>
  </si>
  <si>
    <t xml:space="preserve">Caso con cc 5656732  no permite iniciar atencion de forma inmediata, al darle la opcion sale operacion exitosa y nos saca del los intentos, en el mismo caso si se marca que no hay </t>
  </si>
  <si>
    <t xml:space="preserve">PSI-100-b</t>
  </si>
  <si>
    <t xml:space="preserve">Caso apenas se marca primera atencion pregunta  ¿Tiene una orientación sexual e identidad de género no hegemónicas (OSIGHN)?  la cual unicamente va en los casos del OSIGHN, cuando </t>
  </si>
  <si>
    <t xml:space="preserve">PSI-101-b</t>
  </si>
  <si>
    <t xml:space="preserve">El filtro de profesional asignado NO funciona</t>
  </si>
  <si>
    <t xml:space="preserve">RUT-1</t>
  </si>
  <si>
    <t xml:space="preserve">Rutas</t>
  </si>
  <si>
    <t xml:space="preserve">No se ve las instituciones del sector Salud</t>
  </si>
  <si>
    <t xml:space="preserve">RUT-2</t>
  </si>
  <si>
    <t xml:space="preserve">No se despliegan el listado de justicia</t>
  </si>
  <si>
    <t xml:space="preserve">RUT-3</t>
  </si>
  <si>
    <t xml:space="preserve">No aparecen otras instituciones</t>
  </si>
  <si>
    <t xml:space="preserve">RUT-4</t>
  </si>
  <si>
    <t xml:space="preserve">formularios de entidades publicas de gestion institucional</t>
  </si>
  <si>
    <t xml:space="preserve">RUT-5</t>
  </si>
  <si>
    <t xml:space="preserve">Objetivo de la entidad - solicitud de la entidad</t>
  </si>
  <si>
    <t xml:space="preserve">RUT-6</t>
  </si>
  <si>
    <t xml:space="preserve">que debe gestionar la victima en esta entidad</t>
  </si>
  <si>
    <t xml:space="preserve">RUT-7</t>
  </si>
  <si>
    <t xml:space="preserve">Falta el ChekList competencia de la entidades</t>
  </si>
  <si>
    <t xml:space="preserve">RUT-8</t>
  </si>
  <si>
    <t xml:space="preserve">CheList Acciones Institucionales</t>
  </si>
  <si>
    <t xml:space="preserve">RUT-9</t>
  </si>
  <si>
    <t xml:space="preserve">No deja registrar entidad, por lo que no se puede registrar la barrera</t>
  </si>
  <si>
    <t xml:space="preserve">Solo pueden crear casos notificaciones, agentes integrales y agentes de seguimiento, el resto no pueden tener esa posibilidad, (enlaces tampocos)</t>
  </si>
  <si>
    <t xml:space="preserve">RUT-11</t>
  </si>
  <si>
    <t xml:space="preserve">No permite "gestionar barreras" agrega comentario: no hay usuario de entidad asociado a esta sede</t>
  </si>
  <si>
    <t xml:space="preserve">RUT-12</t>
  </si>
  <si>
    <t xml:space="preserve">En pestaña "Mis barreras" del rol enlace, quitar la palabra "tarea del lado de (solicitud)</t>
  </si>
  <si>
    <t xml:space="preserve">Bitácora de ajustes · Mockups</t>
  </si>
  <si>
    <t xml:space="preserve">Reportes</t>
  </si>
  <si>
    <t xml:space="preserve">En desarrollo</t>
  </si>
  <si>
    <t xml:space="preserve">Ajustes al mockup de reporte</t>
  </si>
  <si>
    <t xml:space="preserve">MOC-02</t>
  </si>
  <si>
    <t xml:space="preserve">Bloqueado</t>
  </si>
  <si>
    <t xml:space="preserve">Pantallas, roles y lógica de determinación de medidas según riesgo</t>
  </si>
  <si>
    <t xml:space="preserve">MOC-03</t>
  </si>
  <si>
    <t xml:space="preserve">Medidas · Familiares/Huérfanos</t>
  </si>
  <si>
    <t xml:space="preserve">Grupos familiares y huérfanos (Ley 2530 de 2025) dentro de Medidas de Emergencia</t>
  </si>
  <si>
    <t xml:space="preserve">MOC-04</t>
  </si>
  <si>
    <t xml:space="preserve">Reportado</t>
  </si>
  <si>
    <t xml:space="preserve">MVP: preguntas en formulario de registro y de seguimiento</t>
  </si>
  <si>
    <t xml:space="preserve">MOC-05</t>
  </si>
  <si>
    <t xml:space="preserve">Calibración del tamizaje desde el formulario de registro y variables adicionales</t>
  </si>
  <si>
    <t xml:space="preserve">MOC-06</t>
  </si>
  <si>
    <t xml:space="preserve">Alerta inminente</t>
  </si>
  <si>
    <t xml:space="preserve">Revisar el mockup de "Alerta inminente" y confirmar que está listo para pruebas</t>
  </si>
</sst>
</file>

<file path=xl/styles.xml><?xml version="1.0" encoding="utf-8"?>
<styleSheet xmlns="http://schemas.openxmlformats.org/spreadsheetml/2006/main">
  <numFmts count="5">
    <numFmt numFmtId="164" formatCode="General"/>
    <numFmt numFmtId="165" formatCode="0%"/>
    <numFmt numFmtId="166" formatCode="yyyy\-mm\-dd\ h:mm:ss"/>
    <numFmt numFmtId="167" formatCode="yyyy\-mm\-dd"/>
    <numFmt numFmtId="168" formatCode="dd\-mmm\-yyyy"/>
  </numFmts>
  <fonts count="15">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rgb="FF0000FF"/>
      <name val="Arial"/>
      <family val="0"/>
      <charset val="1"/>
    </font>
    <font>
      <b val="true"/>
      <sz val="11"/>
      <color rgb="FFFFFFFF"/>
      <name val="Arial"/>
      <family val="2"/>
      <charset val="1"/>
    </font>
    <font>
      <b val="true"/>
      <u val="single"/>
      <sz val="11"/>
      <color rgb="FFFFFFFF"/>
      <name val="Arial"/>
      <family val="2"/>
      <charset val="1"/>
    </font>
    <font>
      <b val="true"/>
      <sz val="11"/>
      <color rgb="FFFFFFFF"/>
      <name val="Arial"/>
      <family val="0"/>
      <charset val="1"/>
    </font>
    <font>
      <sz val="10"/>
      <name val="Arial"/>
      <family val="0"/>
      <charset val="1"/>
    </font>
    <font>
      <sz val="10"/>
      <color rgb="FF0000FF"/>
      <name val="Arial"/>
      <family val="0"/>
      <charset val="1"/>
    </font>
    <font>
      <i val="true"/>
      <sz val="9"/>
      <name val="Arial"/>
      <family val="0"/>
      <charset val="1"/>
    </font>
    <font>
      <b val="true"/>
      <sz val="11"/>
      <color rgb="FFFFFFFF"/>
      <name val="Cambria"/>
      <family val="0"/>
      <charset val="1"/>
    </font>
    <font>
      <sz val="9"/>
      <name val="Arial"/>
      <family val="0"/>
      <charset val="1"/>
    </font>
  </fonts>
  <fills count="7">
    <fill>
      <patternFill patternType="none"/>
    </fill>
    <fill>
      <patternFill patternType="gray125"/>
    </fill>
    <fill>
      <patternFill patternType="solid">
        <fgColor rgb="FFFFF7CC"/>
        <bgColor rgb="FFFFF4D1"/>
      </patternFill>
    </fill>
    <fill>
      <patternFill patternType="solid">
        <fgColor rgb="FF000000"/>
        <bgColor rgb="FF221340"/>
      </patternFill>
    </fill>
    <fill>
      <patternFill patternType="solid">
        <fgColor rgb="FF221340"/>
        <bgColor rgb="FF1B2A4A"/>
      </patternFill>
    </fill>
    <fill>
      <patternFill patternType="solid">
        <fgColor rgb="FF1B2A4A"/>
        <bgColor rgb="FF221340"/>
      </patternFill>
    </fill>
    <fill>
      <patternFill patternType="solid">
        <fgColor rgb="FFFFF2CC"/>
        <bgColor rgb="FFFFF4D1"/>
      </patternFill>
    </fill>
  </fills>
  <borders count="2">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general" vertical="top" textRotation="0" wrapText="true" indent="0" shrinkToFit="false"/>
      <protection locked="true" hidden="false"/>
    </xf>
    <xf numFmtId="165" fontId="11" fillId="2"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top" textRotation="0" wrapText="true" indent="0" shrinkToFit="false"/>
      <protection locked="true" hidden="false"/>
    </xf>
    <xf numFmtId="167" fontId="10" fillId="0" borderId="0" xfId="0" applyFont="true" applyBorder="false" applyAlignment="true" applyProtection="false">
      <alignment horizontal="general" vertical="top" textRotation="0" wrapText="tru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6"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bgColor rgb="FF000000"/>
        </patternFill>
      </fill>
    </dxf>
    <dxf>
      <fill>
        <patternFill patternType="solid">
          <fgColor rgb="FF000000"/>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DDF3E4"/>
          <bgColor rgb="FF000000"/>
        </patternFill>
      </fill>
    </dxf>
    <dxf>
      <fill>
        <patternFill patternType="solid">
          <fgColor rgb="FFEEF0F3"/>
          <bgColor rgb="FF000000"/>
        </patternFill>
      </fill>
    </dxf>
    <dxf>
      <fill>
        <patternFill patternType="solid">
          <fgColor rgb="FFFFF4D1"/>
          <bgColor rgb="FF000000"/>
        </patternFill>
      </fill>
    </dxf>
    <dxf>
      <fill>
        <patternFill patternType="solid">
          <fgColor rgb="FF166534"/>
          <bgColor rgb="FF000000"/>
        </patternFill>
      </fill>
    </dxf>
    <dxf>
      <fill>
        <patternFill patternType="solid">
          <fgColor rgb="FF4A4560"/>
          <bgColor rgb="FF000000"/>
        </patternFill>
      </fill>
    </dxf>
    <dxf>
      <fill>
        <patternFill patternType="solid">
          <fgColor rgb="FF8A6100"/>
          <bgColor rgb="FF000000"/>
        </patternFill>
      </fill>
    </dxf>
    <dxf>
      <fill>
        <patternFill patternType="solid">
          <fgColor rgb="FFFDE2E0"/>
          <bgColor rgb="FF000000"/>
        </patternFill>
      </fill>
    </dxf>
    <dxf>
      <fill>
        <patternFill patternType="solid">
          <fgColor rgb="FFB42318"/>
          <bgColor rgb="FF000000"/>
        </patternFill>
      </fill>
    </dxf>
    <dxf>
      <font>
        <name val="Arial"/>
        <charset val="1"/>
        <family val="0"/>
        <b val="1"/>
        <color rgb="FF166534"/>
      </font>
      <fill>
        <patternFill>
          <bgColor rgb="FFDDF3E4"/>
        </patternFill>
      </fill>
    </dxf>
    <dxf>
      <font>
        <name val="Arial"/>
        <charset val="1"/>
        <family val="0"/>
        <b val="1"/>
        <color rgb="FF8A6100"/>
      </font>
      <fill>
        <patternFill>
          <bgColor rgb="FFFFF4D1"/>
        </patternFill>
      </fill>
    </dxf>
    <dxf>
      <font>
        <name val="Arial"/>
        <charset val="1"/>
        <family val="0"/>
        <b val="1"/>
        <color rgb="FF4A4560"/>
      </font>
      <fill>
        <patternFill>
          <bgColor rgb="FFEEF0F3"/>
        </patternFill>
      </fill>
    </dxf>
    <dxf>
      <font>
        <name val="Arial"/>
        <charset val="1"/>
        <family val="0"/>
        <b val="1"/>
        <color rgb="FFB42318"/>
      </font>
      <fill>
        <patternFill>
          <bgColor rgb="FFFDE2E0"/>
        </patternFill>
      </fill>
    </dxf>
    <dxf>
      <font>
        <color rgb="FF006100"/>
      </font>
      <fill>
        <patternFill>
          <bgColor rgb="FFC6EFCE"/>
        </patternFill>
      </fill>
    </dxf>
    <dxf>
      <fill>
        <patternFill patternType="solid">
          <fgColor rgb="FF221340"/>
          <bgColor rgb="FF000000"/>
        </patternFill>
      </fill>
    </dxf>
    <dxf>
      <fill>
        <patternFill patternType="solid">
          <fgColor rgb="FFFFFFFF"/>
          <bgColor rgb="FF000000"/>
        </patternFill>
      </fill>
    </dxf>
    <dxf>
      <fill>
        <patternFill patternType="solid">
          <fgColor rgb="FF1B2A4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221340"/>
      <rgbColor rgb="FF8A6100"/>
      <rgbColor rgb="FF800080"/>
      <rgbColor rgb="FF166534"/>
      <rgbColor rgb="FFC0C0C0"/>
      <rgbColor rgb="FF7F7F7F"/>
      <rgbColor rgb="FF9999FF"/>
      <rgbColor rgb="FF993366"/>
      <rgbColor rgb="FFFFF7CC"/>
      <rgbColor rgb="FFDDF3E4"/>
      <rgbColor rgb="FF660066"/>
      <rgbColor rgb="FFFF8080"/>
      <rgbColor rgb="FF0066CC"/>
      <rgbColor rgb="FFFFF4D1"/>
      <rgbColor rgb="FF000080"/>
      <rgbColor rgb="FFFF00FF"/>
      <rgbColor rgb="FFFFFF00"/>
      <rgbColor rgb="FF00FFFF"/>
      <rgbColor rgb="FF800080"/>
      <rgbColor rgb="FF800000"/>
      <rgbColor rgb="FF008080"/>
      <rgbColor rgb="FF0000FF"/>
      <rgbColor rgb="FF00CCFF"/>
      <rgbColor rgb="FFEEF0F3"/>
      <rgbColor rgb="FFC6EFCE"/>
      <rgbColor rgb="FFFFF2CC"/>
      <rgbColor rgb="FF99CCFF"/>
      <rgbColor rgb="FFFF99CC"/>
      <rgbColor rgb="FFCC99FF"/>
      <rgbColor rgb="FFFDE2E0"/>
      <rgbColor rgb="FF3366FF"/>
      <rgbColor rgb="FF33CCCC"/>
      <rgbColor rgb="FF99CC00"/>
      <rgbColor rgb="FFFFCC00"/>
      <rgbColor rgb="FFFF9900"/>
      <rgbColor rgb="FFFF6600"/>
      <rgbColor rgb="FF666699"/>
      <rgbColor rgb="FF969696"/>
      <rgbColor rgb="FF003366"/>
      <rgbColor rgb="FF339966"/>
      <rgbColor rgb="FF003300"/>
      <rgbColor rgb="FF333300"/>
      <rgbColor rgb="FFB42318"/>
      <rgbColor rgb="FF993366"/>
      <rgbColor rgb="FF4A4560"/>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24"/>
    <col collapsed="false" customWidth="true" hidden="false" outlineLevel="0" max="2" min="2" style="1" width="110"/>
  </cols>
  <sheetData>
    <row r="1" customFormat="false" ht="15" hidden="false" customHeight="true" outlineLevel="0" collapsed="false">
      <c r="A1" s="2" t="s">
        <v>0</v>
      </c>
      <c r="B1" s="3" t="s">
        <v>1</v>
      </c>
    </row>
    <row r="2" customFormat="false" ht="39" hidden="false" customHeight="true" outlineLevel="0" collapsed="false">
      <c r="A2" s="2" t="s">
        <v>2</v>
      </c>
      <c r="B2" s="3" t="s">
        <v>3</v>
      </c>
    </row>
    <row r="3" customFormat="false" ht="51.75" hidden="false" customHeight="true" outlineLevel="0" collapsed="false">
      <c r="A3" s="2" t="s">
        <v>4</v>
      </c>
      <c r="B3" s="3" t="s">
        <v>5</v>
      </c>
    </row>
    <row r="4" customFormat="false" ht="26.25" hidden="false" customHeight="true" outlineLevel="0" collapsed="false">
      <c r="A4" s="2" t="s">
        <v>6</v>
      </c>
      <c r="B4" s="3" t="s">
        <v>7</v>
      </c>
    </row>
    <row r="5" customFormat="false" ht="26.25" hidden="false" customHeight="true" outlineLevel="0" collapsed="false">
      <c r="A5" s="2" t="s">
        <v>8</v>
      </c>
      <c r="B5" s="3" t="s">
        <v>9</v>
      </c>
    </row>
    <row r="6" customFormat="false" ht="26.25" hidden="false" customHeight="true" outlineLevel="0" collapsed="false">
      <c r="A6" s="2" t="s">
        <v>10</v>
      </c>
      <c r="B6" s="3" t="s">
        <v>11</v>
      </c>
    </row>
    <row r="7" customFormat="false" ht="39" hidden="false" customHeight="true" outlineLevel="0" collapsed="false">
      <c r="A7" s="2" t="s">
        <v>12</v>
      </c>
      <c r="B7" s="3" t="s">
        <v>13</v>
      </c>
    </row>
    <row r="8" customFormat="false" ht="15" hidden="false" customHeight="true" outlineLevel="0" collapsed="false">
      <c r="A8" s="2" t="s">
        <v>14</v>
      </c>
      <c r="B8" s="3" t="s">
        <v>15</v>
      </c>
    </row>
    <row r="9" customFormat="false" ht="26.25" hidden="false" customHeight="true" outlineLevel="0" collapsed="false">
      <c r="A9" s="2" t="s">
        <v>16</v>
      </c>
      <c r="B9" s="3" t="s">
        <v>17</v>
      </c>
    </row>
    <row r="10" customFormat="false" ht="39" hidden="false" customHeight="true" outlineLevel="0" collapsed="false">
      <c r="A10" s="2" t="s">
        <v>18</v>
      </c>
      <c r="B10" s="3" t="s">
        <v>19</v>
      </c>
    </row>
    <row r="11" customFormat="false" ht="26.25" hidden="false" customHeight="true" outlineLevel="0" collapsed="false">
      <c r="A11" s="2" t="s">
        <v>20</v>
      </c>
      <c r="B11" s="3" t="s">
        <v>21</v>
      </c>
    </row>
    <row r="12" customFormat="false" ht="39" hidden="false" customHeight="true" outlineLevel="0" collapsed="false">
      <c r="A12" s="2" t="s">
        <v>22</v>
      </c>
      <c r="B12" s="3" t="s">
        <v>23</v>
      </c>
    </row>
    <row r="13" customFormat="false" ht="39" hidden="false" customHeight="true" outlineLevel="0" collapsed="false">
      <c r="A13" s="2" t="s">
        <v>24</v>
      </c>
      <c r="B13" s="3" t="s">
        <v>25</v>
      </c>
    </row>
    <row r="14" customFormat="false" ht="39" hidden="false" customHeight="true" outlineLevel="0" collapsed="false">
      <c r="A14" s="2" t="s">
        <v>26</v>
      </c>
      <c r="B14" s="3" t="s">
        <v>27</v>
      </c>
    </row>
    <row r="15" customFormat="false" ht="26.25" hidden="false" customHeight="true" outlineLevel="0" collapsed="false">
      <c r="A15" s="2" t="s">
        <v>28</v>
      </c>
      <c r="B15" s="3" t="s">
        <v>29</v>
      </c>
    </row>
    <row r="16" customFormat="false" ht="15" hidden="false" customHeight="true" outlineLevel="0" collapsed="false">
      <c r="A16" s="2" t="s">
        <v>30</v>
      </c>
      <c r="B16" s="3" t="s">
        <v>31</v>
      </c>
    </row>
    <row r="17" customFormat="false" ht="45" hidden="false" customHeight="true" outlineLevel="0" collapsed="false">
      <c r="A17" s="2" t="s">
        <v>32</v>
      </c>
      <c r="B17" s="3" t="s">
        <v>33</v>
      </c>
    </row>
    <row r="18" customFormat="false" ht="45" hidden="false" customHeight="true" outlineLevel="0" collapsed="false">
      <c r="A18" s="2" t="s">
        <v>34</v>
      </c>
      <c r="B18" s="3" t="s">
        <v>35</v>
      </c>
    </row>
    <row r="19" customFormat="false" ht="39" hidden="false" customHeight="true" outlineLevel="0" collapsed="false">
      <c r="A19" s="2" t="s">
        <v>36</v>
      </c>
      <c r="B19" s="3" t="s">
        <v>37</v>
      </c>
    </row>
    <row r="20" customFormat="false" ht="15" hidden="false" customHeight="true" outlineLevel="0" collapsed="false">
      <c r="A20" s="2" t="s">
        <v>38</v>
      </c>
      <c r="B20" s="3" t="s">
        <v>39</v>
      </c>
    </row>
    <row r="21" customFormat="false" ht="15" hidden="false" customHeight="true" outlineLevel="0" collapsed="false">
      <c r="A21" s="2" t="s">
        <v>40</v>
      </c>
      <c r="B21" s="3" t="s">
        <v>41</v>
      </c>
    </row>
    <row r="22" customFormat="false" ht="15" hidden="false" customHeight="true" outlineLevel="0" collapsed="false">
      <c r="A22" s="2" t="s">
        <v>42</v>
      </c>
      <c r="B22" s="3" t="s">
        <v>43</v>
      </c>
    </row>
    <row r="24" customFormat="false" ht="15" hidden="false" customHeight="false" outlineLevel="0" collapsed="false">
      <c r="A24" s="1" t="s">
        <v>44</v>
      </c>
      <c r="B24" s="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126" activeCellId="0" sqref="B126"/>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2" min="2" style="1" width="58"/>
    <col collapsed="false" customWidth="true" hidden="false" outlineLevel="0" max="3" min="3" style="1" width="50"/>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80"/>
    <col collapsed="false" customWidth="true" hidden="false" outlineLevel="0" max="8" min="8" style="1" width="14"/>
    <col collapsed="false" customWidth="true" hidden="false" outlineLevel="0" max="9" min="9" style="1" width="8"/>
    <col collapsed="false" customWidth="true" hidden="false" outlineLevel="0" max="10" min="10" style="1" width="22"/>
  </cols>
  <sheetData>
    <row r="1" customFormat="false" ht="15" hidden="false" customHeight="true" outlineLevel="0" collapsed="false">
      <c r="A1" s="4" t="s">
        <v>46</v>
      </c>
      <c r="B1" s="4" t="s">
        <v>47</v>
      </c>
      <c r="C1" s="4" t="s">
        <v>48</v>
      </c>
      <c r="D1" s="2" t="s">
        <v>49</v>
      </c>
      <c r="E1" s="2" t="s">
        <v>50</v>
      </c>
      <c r="F1" s="2" t="s">
        <v>51</v>
      </c>
      <c r="G1" s="2" t="s">
        <v>52</v>
      </c>
      <c r="H1" s="2" t="s">
        <v>53</v>
      </c>
      <c r="I1" s="2" t="s">
        <v>54</v>
      </c>
      <c r="J1" s="2" t="s">
        <v>55</v>
      </c>
    </row>
    <row r="2" customFormat="false" ht="30" hidden="false" customHeight="true" outlineLevel="0" collapsed="false">
      <c r="A2" s="2" t="s">
        <v>56</v>
      </c>
      <c r="B2" s="2" t="s">
        <v>57</v>
      </c>
      <c r="C2" s="2" t="s">
        <v>58</v>
      </c>
      <c r="D2" s="2" t="n">
        <v>1</v>
      </c>
      <c r="E2" s="5" t="n">
        <f aca="false">SUMPRODUCT((D3:D5=3)*E3:E5)/COUNTIF(D3:D5,3)</f>
        <v>1</v>
      </c>
      <c r="F2" s="2" t="str">
        <f aca="false">IF(E2&gt;=0.995,"Completado",IF(E2&gt;0,"En curso","Pendiente"))</f>
        <v>Completado</v>
      </c>
      <c r="G2" s="6"/>
      <c r="H2" s="2"/>
      <c r="I2" s="1" t="n">
        <f aca="false">IF(E2&gt;=0.995,3,IF(E2&gt;0,2,1))</f>
        <v>3</v>
      </c>
      <c r="J2" s="1" t="s">
        <v>4</v>
      </c>
    </row>
    <row r="3" customFormat="false" ht="15" hidden="false" customHeight="true" outlineLevel="0" collapsed="false">
      <c r="A3" s="2" t="s">
        <v>59</v>
      </c>
      <c r="B3" s="2" t="s">
        <v>60</v>
      </c>
      <c r="C3" s="2" t="s">
        <v>61</v>
      </c>
      <c r="D3" s="2" t="n">
        <v>2</v>
      </c>
      <c r="E3" s="5" t="n">
        <f aca="false">SUMPRODUCT((D4:D5=3)*E4:E5)/COUNTIF(D4:D5,3)</f>
        <v>1</v>
      </c>
      <c r="F3" s="2" t="str">
        <f aca="false">IF(E3&gt;=0.995,"Completado",IF(E3&gt;0,"En curso","Pendiente"))</f>
        <v>Completado</v>
      </c>
      <c r="G3" s="6"/>
      <c r="H3" s="2"/>
      <c r="I3" s="1" t="n">
        <f aca="false">IF(E3&gt;=0.995,3,IF(E3&gt;0,2,1))</f>
        <v>3</v>
      </c>
      <c r="J3" s="1" t="s">
        <v>4</v>
      </c>
    </row>
    <row r="4" customFormat="false" ht="15" hidden="false" customHeight="true" outlineLevel="0" collapsed="false">
      <c r="A4" s="1" t="s">
        <v>62</v>
      </c>
      <c r="B4" s="1" t="s">
        <v>63</v>
      </c>
      <c r="C4" s="1" t="s">
        <v>64</v>
      </c>
      <c r="D4" s="1" t="n">
        <v>3</v>
      </c>
      <c r="E4" s="7" t="n">
        <v>1</v>
      </c>
      <c r="F4" s="1" t="str">
        <f aca="false">IF(E4&gt;=0.995,"Completado",IF(E4&gt;0,"En curso","Pendiente"))</f>
        <v>Completado</v>
      </c>
      <c r="G4" s="8" t="s">
        <v>65</v>
      </c>
      <c r="H4" s="4" t="s">
        <v>66</v>
      </c>
      <c r="I4" s="1" t="n">
        <f aca="false">IF(E4&gt;=0.995,3,IF(E4&gt;0,2,1))</f>
        <v>3</v>
      </c>
      <c r="J4" s="1" t="s">
        <v>4</v>
      </c>
    </row>
    <row r="5" customFormat="false" ht="15" hidden="false" customHeight="true" outlineLevel="0" collapsed="false">
      <c r="A5" s="1" t="s">
        <v>67</v>
      </c>
      <c r="B5" s="1" t="s">
        <v>68</v>
      </c>
      <c r="C5" s="1" t="s">
        <v>69</v>
      </c>
      <c r="D5" s="1" t="n">
        <v>3</v>
      </c>
      <c r="E5" s="7" t="n">
        <v>1</v>
      </c>
      <c r="F5" s="1" t="str">
        <f aca="false">IF(E5&gt;=0.995,"Completado",IF(E5&gt;0,"En curso","Pendiente"))</f>
        <v>Completado</v>
      </c>
      <c r="G5" s="8" t="s">
        <v>70</v>
      </c>
      <c r="H5" s="4" t="s">
        <v>71</v>
      </c>
      <c r="I5" s="1" t="n">
        <f aca="false">IF(E5&gt;=0.995,3,IF(E5&gt;0,2,1))</f>
        <v>3</v>
      </c>
      <c r="J5" s="1" t="s">
        <v>4</v>
      </c>
    </row>
    <row r="6" customFormat="false" ht="30" hidden="false" customHeight="true" outlineLevel="0" collapsed="false">
      <c r="A6" s="2" t="s">
        <v>72</v>
      </c>
      <c r="B6" s="2" t="s">
        <v>73</v>
      </c>
      <c r="C6" s="2" t="s">
        <v>74</v>
      </c>
      <c r="D6" s="2" t="n">
        <v>1</v>
      </c>
      <c r="E6" s="5" t="n">
        <f aca="false">SUMPRODUCT((D7:D15=3)*E7:E15)/COUNTIF(D7:D15,3)</f>
        <v>0.771428571428572</v>
      </c>
      <c r="F6" s="2" t="str">
        <f aca="false">IF(E6&gt;=0.995,"Completado",IF(E6&gt;0,"En curso","Pendiente"))</f>
        <v>En curso</v>
      </c>
      <c r="G6" s="6"/>
      <c r="H6" s="2"/>
      <c r="I6" s="1" t="n">
        <f aca="false">IF(E6&gt;=0.995,3,IF(E6&gt;0,2,1))</f>
        <v>2</v>
      </c>
      <c r="J6" s="1" t="s">
        <v>4</v>
      </c>
    </row>
    <row r="7" customFormat="false" ht="15" hidden="false" customHeight="true" outlineLevel="0" collapsed="false">
      <c r="A7" s="2" t="s">
        <v>75</v>
      </c>
      <c r="B7" s="2" t="s">
        <v>76</v>
      </c>
      <c r="C7" s="2" t="s">
        <v>77</v>
      </c>
      <c r="D7" s="2" t="n">
        <v>2</v>
      </c>
      <c r="E7" s="5" t="n">
        <f aca="false">SUMPRODUCT((D8:D11=3)*E8:E11)/COUNTIF(D8:D11,3)</f>
        <v>0.85</v>
      </c>
      <c r="F7" s="2" t="str">
        <f aca="false">IF(E7&gt;=0.995,"Completado",IF(E7&gt;0,"En curso","Pendiente"))</f>
        <v>En curso</v>
      </c>
      <c r="G7" s="6"/>
      <c r="H7" s="2"/>
      <c r="I7" s="1" t="n">
        <f aca="false">IF(E7&gt;=0.995,3,IF(E7&gt;0,2,1))</f>
        <v>2</v>
      </c>
      <c r="J7" s="1" t="s">
        <v>4</v>
      </c>
    </row>
    <row r="8" customFormat="false" ht="30" hidden="false" customHeight="true" outlineLevel="0" collapsed="false">
      <c r="A8" s="1" t="s">
        <v>78</v>
      </c>
      <c r="B8" s="1" t="s">
        <v>79</v>
      </c>
      <c r="C8" s="1" t="s">
        <v>80</v>
      </c>
      <c r="D8" s="1" t="n">
        <v>3</v>
      </c>
      <c r="E8" s="7" t="n">
        <v>1</v>
      </c>
      <c r="F8" s="1" t="str">
        <f aca="false">IF(E8&gt;=0.995,"Completado",IF(E8&gt;0,"En curso","Pendiente"))</f>
        <v>Completado</v>
      </c>
      <c r="G8" s="8" t="s">
        <v>81</v>
      </c>
      <c r="H8" s="4" t="s">
        <v>66</v>
      </c>
      <c r="I8" s="1" t="n">
        <f aca="false">IF(E8&gt;=0.995,3,IF(E8&gt;0,2,1))</f>
        <v>3</v>
      </c>
      <c r="J8" s="1" t="s">
        <v>4</v>
      </c>
    </row>
    <row r="9" customFormat="false" ht="27.75" hidden="false" customHeight="true" outlineLevel="0" collapsed="false">
      <c r="A9" s="1" t="s">
        <v>82</v>
      </c>
      <c r="B9" s="1" t="s">
        <v>83</v>
      </c>
      <c r="C9" s="1" t="s">
        <v>84</v>
      </c>
      <c r="D9" s="1" t="n">
        <v>3</v>
      </c>
      <c r="E9" s="7" t="n">
        <v>0.9</v>
      </c>
      <c r="F9" s="1" t="str">
        <f aca="false">IF(E9&gt;=0.995,"Completado",IF(E9&gt;0,"En curso","Pendiente"))</f>
        <v>En curso</v>
      </c>
      <c r="G9" s="8" t="s">
        <v>85</v>
      </c>
      <c r="H9" s="4" t="s">
        <v>66</v>
      </c>
      <c r="I9" s="1" t="n">
        <f aca="false">IF(E9&gt;=0.995,3,IF(E9&gt;0,2,1))</f>
        <v>2</v>
      </c>
      <c r="J9" s="1" t="s">
        <v>4</v>
      </c>
    </row>
    <row r="10" customFormat="false" ht="27.75" hidden="false" customHeight="true" outlineLevel="0" collapsed="false">
      <c r="A10" s="1" t="s">
        <v>86</v>
      </c>
      <c r="B10" s="1" t="s">
        <v>87</v>
      </c>
      <c r="C10" s="1" t="s">
        <v>88</v>
      </c>
      <c r="D10" s="1" t="n">
        <v>3</v>
      </c>
      <c r="E10" s="7" t="n">
        <v>0.5</v>
      </c>
      <c r="F10" s="1" t="str">
        <f aca="false">IF(E10&gt;=0.995,"Completado",IF(E10&gt;0,"En curso","Pendiente"))</f>
        <v>En curso</v>
      </c>
      <c r="G10" s="8" t="s">
        <v>89</v>
      </c>
      <c r="H10" s="4" t="s">
        <v>66</v>
      </c>
      <c r="I10" s="1" t="n">
        <f aca="false">IF(E10&gt;=0.995,3,IF(E10&gt;0,2,1))</f>
        <v>2</v>
      </c>
      <c r="J10" s="1" t="s">
        <v>4</v>
      </c>
    </row>
    <row r="11" customFormat="false" ht="15" hidden="false" customHeight="true" outlineLevel="0" collapsed="false">
      <c r="A11" s="1" t="s">
        <v>90</v>
      </c>
      <c r="B11" s="1" t="s">
        <v>91</v>
      </c>
      <c r="C11" s="1" t="s">
        <v>92</v>
      </c>
      <c r="D11" s="1" t="n">
        <v>3</v>
      </c>
      <c r="E11" s="7" t="n">
        <v>1</v>
      </c>
      <c r="F11" s="1" t="str">
        <f aca="false">IF(E11&gt;=0.995,"Completado",IF(E11&gt;0,"En curso","Pendiente"))</f>
        <v>Completado</v>
      </c>
      <c r="G11" s="8" t="s">
        <v>93</v>
      </c>
      <c r="H11" s="4" t="s">
        <v>71</v>
      </c>
      <c r="I11" s="1" t="n">
        <f aca="false">IF(E11&gt;=0.995,3,IF(E11&gt;0,2,1))</f>
        <v>3</v>
      </c>
      <c r="J11" s="1" t="s">
        <v>4</v>
      </c>
    </row>
    <row r="12" customFormat="false" ht="15" hidden="false" customHeight="true" outlineLevel="0" collapsed="false">
      <c r="A12" s="2" t="s">
        <v>94</v>
      </c>
      <c r="B12" s="2" t="s">
        <v>95</v>
      </c>
      <c r="C12" s="2" t="s">
        <v>96</v>
      </c>
      <c r="D12" s="2" t="n">
        <v>2</v>
      </c>
      <c r="E12" s="5" t="n">
        <f aca="false">SUMPRODUCT((D13:D15=3)*E13:E15)/COUNTIF(D13:D15,3)</f>
        <v>0.666666666666667</v>
      </c>
      <c r="F12" s="2" t="str">
        <f aca="false">IF(E12&gt;=0.995,"Completado",IF(E12&gt;0,"En curso","Pendiente"))</f>
        <v>En curso</v>
      </c>
      <c r="G12" s="6"/>
      <c r="H12" s="2"/>
      <c r="I12" s="1" t="n">
        <f aca="false">IF(E12&gt;=0.995,3,IF(E12&gt;0,2,1))</f>
        <v>2</v>
      </c>
      <c r="J12" s="1" t="s">
        <v>4</v>
      </c>
    </row>
    <row r="13" customFormat="false" ht="15" hidden="false" customHeight="true" outlineLevel="0" collapsed="false">
      <c r="A13" s="1" t="s">
        <v>97</v>
      </c>
      <c r="B13" s="1" t="s">
        <v>98</v>
      </c>
      <c r="C13" s="1" t="s">
        <v>99</v>
      </c>
      <c r="D13" s="1" t="n">
        <v>3</v>
      </c>
      <c r="E13" s="7" t="n">
        <v>1</v>
      </c>
      <c r="F13" s="1" t="str">
        <f aca="false">IF(E13&gt;=0.995,"Completado",IF(E13&gt;0,"En curso","Pendiente"))</f>
        <v>Completado</v>
      </c>
      <c r="G13" s="8" t="s">
        <v>100</v>
      </c>
      <c r="H13" s="4" t="s">
        <v>66</v>
      </c>
      <c r="I13" s="1" t="n">
        <f aca="false">IF(E13&gt;=0.995,3,IF(E13&gt;0,2,1))</f>
        <v>3</v>
      </c>
      <c r="J13" s="1" t="s">
        <v>4</v>
      </c>
    </row>
    <row r="14" customFormat="false" ht="15" hidden="false" customHeight="true" outlineLevel="0" collapsed="false">
      <c r="A14" s="1" t="s">
        <v>101</v>
      </c>
      <c r="B14" s="1" t="s">
        <v>102</v>
      </c>
      <c r="C14" s="1" t="s">
        <v>103</v>
      </c>
      <c r="D14" s="1" t="n">
        <v>3</v>
      </c>
      <c r="E14" s="7" t="n">
        <v>0.75</v>
      </c>
      <c r="F14" s="1" t="str">
        <f aca="false">IF(E14&gt;=0.995,"Completado",IF(E14&gt;0,"En curso","Pendiente"))</f>
        <v>En curso</v>
      </c>
      <c r="G14" s="8" t="s">
        <v>104</v>
      </c>
      <c r="H14" s="4" t="s">
        <v>66</v>
      </c>
      <c r="I14" s="1" t="n">
        <f aca="false">IF(E14&gt;=0.995,3,IF(E14&gt;0,2,1))</f>
        <v>2</v>
      </c>
      <c r="J14" s="1" t="s">
        <v>4</v>
      </c>
    </row>
    <row r="15" customFormat="false" ht="27.75" hidden="false" customHeight="true" outlineLevel="0" collapsed="false">
      <c r="A15" s="1" t="s">
        <v>105</v>
      </c>
      <c r="B15" s="1" t="s">
        <v>106</v>
      </c>
      <c r="C15" s="1" t="s">
        <v>107</v>
      </c>
      <c r="D15" s="1" t="n">
        <v>3</v>
      </c>
      <c r="E15" s="7" t="n">
        <v>0.25</v>
      </c>
      <c r="F15" s="1" t="str">
        <f aca="false">IF(E15&gt;=0.995,"Completado",IF(E15&gt;0,"En curso","Pendiente"))</f>
        <v>En curso</v>
      </c>
      <c r="G15" s="8" t="s">
        <v>108</v>
      </c>
      <c r="H15" s="4" t="s">
        <v>71</v>
      </c>
      <c r="I15" s="1" t="n">
        <f aca="false">IF(E15&gt;=0.995,3,IF(E15&gt;0,2,1))</f>
        <v>2</v>
      </c>
      <c r="J15" s="1" t="s">
        <v>4</v>
      </c>
    </row>
    <row r="16" customFormat="false" ht="30" hidden="false" customHeight="true" outlineLevel="0" collapsed="false">
      <c r="A16" s="2" t="s">
        <v>109</v>
      </c>
      <c r="B16" s="2" t="s">
        <v>110</v>
      </c>
      <c r="C16" s="2" t="s">
        <v>111</v>
      </c>
      <c r="D16" s="2" t="n">
        <v>1</v>
      </c>
      <c r="E16" s="5" t="n">
        <f aca="false">SUMPRODUCT((D17:D23=3)*E17:E23)/COUNTIF(D17:D23,3)</f>
        <v>0.81</v>
      </c>
      <c r="F16" s="2" t="str">
        <f aca="false">IF(E16&gt;=0.995,"Completado",IF(E16&gt;0,"En curso","Pendiente"))</f>
        <v>En curso</v>
      </c>
      <c r="G16" s="6"/>
      <c r="H16" s="2"/>
      <c r="I16" s="1" t="n">
        <f aca="false">IF(E16&gt;=0.995,3,IF(E16&gt;0,2,1))</f>
        <v>2</v>
      </c>
      <c r="J16" s="1" t="s">
        <v>4</v>
      </c>
    </row>
    <row r="17" customFormat="false" ht="15" hidden="false" customHeight="true" outlineLevel="0" collapsed="false">
      <c r="A17" s="2" t="s">
        <v>112</v>
      </c>
      <c r="B17" s="2" t="s">
        <v>113</v>
      </c>
      <c r="C17" s="2" t="s">
        <v>114</v>
      </c>
      <c r="D17" s="2" t="n">
        <v>2</v>
      </c>
      <c r="E17" s="5" t="n">
        <f aca="false">SUMPRODUCT((D18:D20=3)*E18:E20)/COUNTIF(D18:D20,3)</f>
        <v>0.85</v>
      </c>
      <c r="F17" s="2" t="str">
        <f aca="false">IF(E17&gt;=0.995,"Completado",IF(E17&gt;0,"En curso","Pendiente"))</f>
        <v>En curso</v>
      </c>
      <c r="G17" s="6"/>
      <c r="H17" s="2"/>
      <c r="I17" s="1" t="n">
        <f aca="false">IF(E17&gt;=0.995,3,IF(E17&gt;0,2,1))</f>
        <v>2</v>
      </c>
      <c r="J17" s="1" t="s">
        <v>4</v>
      </c>
    </row>
    <row r="18" customFormat="false" ht="15" hidden="false" customHeight="true" outlineLevel="0" collapsed="false">
      <c r="A18" s="1" t="s">
        <v>115</v>
      </c>
      <c r="B18" s="1" t="s">
        <v>116</v>
      </c>
      <c r="C18" s="1" t="s">
        <v>117</v>
      </c>
      <c r="D18" s="1" t="n">
        <v>3</v>
      </c>
      <c r="E18" s="7" t="n">
        <v>1</v>
      </c>
      <c r="F18" s="1" t="str">
        <f aca="false">IF(E18&gt;=0.995,"Completado",IF(E18&gt;0,"En curso","Pendiente"))</f>
        <v>Completado</v>
      </c>
      <c r="G18" s="8" t="s">
        <v>118</v>
      </c>
      <c r="H18" s="4" t="s">
        <v>71</v>
      </c>
      <c r="I18" s="1" t="n">
        <f aca="false">IF(E18&gt;=0.995,3,IF(E18&gt;0,2,1))</f>
        <v>3</v>
      </c>
      <c r="J18" s="1" t="s">
        <v>4</v>
      </c>
    </row>
    <row r="19" customFormat="false" ht="30" hidden="false" customHeight="true" outlineLevel="0" collapsed="false">
      <c r="A19" s="1" t="s">
        <v>119</v>
      </c>
      <c r="B19" s="1" t="s">
        <v>120</v>
      </c>
      <c r="C19" s="1" t="s">
        <v>121</v>
      </c>
      <c r="D19" s="1" t="n">
        <v>3</v>
      </c>
      <c r="E19" s="7" t="n">
        <v>0.65</v>
      </c>
      <c r="F19" s="1" t="str">
        <f aca="false">IF(E19&gt;=0.995,"Completado",IF(E19&gt;0,"En curso","Pendiente"))</f>
        <v>En curso</v>
      </c>
      <c r="G19" s="8" t="s">
        <v>122</v>
      </c>
      <c r="H19" s="4" t="s">
        <v>71</v>
      </c>
      <c r="I19" s="1" t="n">
        <f aca="false">IF(E19&gt;=0.995,3,IF(E19&gt;0,2,1))</f>
        <v>2</v>
      </c>
      <c r="J19" s="1" t="s">
        <v>4</v>
      </c>
    </row>
    <row r="20" customFormat="false" ht="41.25" hidden="false" customHeight="true" outlineLevel="0" collapsed="false">
      <c r="A20" s="1" t="s">
        <v>123</v>
      </c>
      <c r="B20" s="1" t="s">
        <v>124</v>
      </c>
      <c r="C20" s="1" t="s">
        <v>125</v>
      </c>
      <c r="D20" s="1" t="n">
        <v>3</v>
      </c>
      <c r="E20" s="7" t="n">
        <v>0.9</v>
      </c>
      <c r="F20" s="1" t="str">
        <f aca="false">IF(E20&gt;=0.995,"Completado",IF(E20&gt;0,"En curso","Pendiente"))</f>
        <v>En curso</v>
      </c>
      <c r="G20" s="8" t="s">
        <v>126</v>
      </c>
      <c r="H20" s="4" t="s">
        <v>71</v>
      </c>
      <c r="I20" s="1" t="n">
        <f aca="false">IF(E20&gt;=0.995,3,IF(E20&gt;0,2,1))</f>
        <v>2</v>
      </c>
      <c r="J20" s="1" t="s">
        <v>4</v>
      </c>
    </row>
    <row r="21" customFormat="false" ht="15" hidden="false" customHeight="true" outlineLevel="0" collapsed="false">
      <c r="A21" s="2" t="s">
        <v>127</v>
      </c>
      <c r="B21" s="2" t="s">
        <v>128</v>
      </c>
      <c r="C21" s="2" t="s">
        <v>129</v>
      </c>
      <c r="D21" s="2" t="n">
        <v>2</v>
      </c>
      <c r="E21" s="5" t="n">
        <f aca="false">SUMPRODUCT((D22:D23=3)*E22:E23)/COUNTIF(D22:D23,3)</f>
        <v>0.75</v>
      </c>
      <c r="F21" s="2" t="str">
        <f aca="false">IF(E21&gt;=0.995,"Completado",IF(E21&gt;0,"En curso","Pendiente"))</f>
        <v>En curso</v>
      </c>
      <c r="G21" s="6"/>
      <c r="H21" s="2"/>
      <c r="I21" s="1" t="n">
        <f aca="false">IF(E21&gt;=0.995,3,IF(E21&gt;0,2,1))</f>
        <v>2</v>
      </c>
      <c r="J21" s="1" t="s">
        <v>4</v>
      </c>
    </row>
    <row r="22" customFormat="false" ht="15" hidden="false" customHeight="true" outlineLevel="0" collapsed="false">
      <c r="A22" s="1" t="s">
        <v>130</v>
      </c>
      <c r="B22" s="1" t="s">
        <v>131</v>
      </c>
      <c r="C22" s="1" t="s">
        <v>132</v>
      </c>
      <c r="D22" s="1" t="n">
        <v>3</v>
      </c>
      <c r="E22" s="7" t="n">
        <v>1</v>
      </c>
      <c r="F22" s="1" t="str">
        <f aca="false">IF(E22&gt;=0.995,"Completado",IF(E22&gt;0,"En curso","Pendiente"))</f>
        <v>Completado</v>
      </c>
      <c r="G22" s="8" t="s">
        <v>133</v>
      </c>
      <c r="H22" s="4" t="s">
        <v>66</v>
      </c>
      <c r="I22" s="1" t="n">
        <f aca="false">IF(E22&gt;=0.995,3,IF(E22&gt;0,2,1))</f>
        <v>3</v>
      </c>
      <c r="J22" s="1" t="s">
        <v>4</v>
      </c>
    </row>
    <row r="23" customFormat="false" ht="15" hidden="false" customHeight="true" outlineLevel="0" collapsed="false">
      <c r="A23" s="1" t="s">
        <v>134</v>
      </c>
      <c r="B23" s="1" t="s">
        <v>135</v>
      </c>
      <c r="C23" s="1" t="s">
        <v>136</v>
      </c>
      <c r="D23" s="1" t="n">
        <v>3</v>
      </c>
      <c r="E23" s="7" t="n">
        <v>0.5</v>
      </c>
      <c r="F23" s="1" t="str">
        <f aca="false">IF(E23&gt;=0.995,"Completado",IF(E23&gt;0,"En curso","Pendiente"))</f>
        <v>En curso</v>
      </c>
      <c r="G23" s="8" t="s">
        <v>137</v>
      </c>
      <c r="H23" s="4" t="s">
        <v>71</v>
      </c>
      <c r="I23" s="1" t="n">
        <f aca="false">IF(E23&gt;=0.995,3,IF(E23&gt;0,2,1))</f>
        <v>2</v>
      </c>
      <c r="J23" s="1" t="s">
        <v>4</v>
      </c>
    </row>
    <row r="24" customFormat="false" ht="30" hidden="false" customHeight="true" outlineLevel="0" collapsed="false">
      <c r="A24" s="2" t="s">
        <v>138</v>
      </c>
      <c r="B24" s="2" t="s">
        <v>139</v>
      </c>
      <c r="C24" s="2" t="s">
        <v>140</v>
      </c>
      <c r="D24" s="2" t="n">
        <v>1</v>
      </c>
      <c r="E24" s="5" t="n">
        <f aca="false">SUMPRODUCT((D25:D54=3)*E25:E54)/COUNTIF(D25:D54,3)</f>
        <v>0.806</v>
      </c>
      <c r="F24" s="2" t="str">
        <f aca="false">IF(E24&gt;=0.995,"Completado",IF(E24&gt;0,"En curso","Pendiente"))</f>
        <v>En curso</v>
      </c>
      <c r="G24" s="6"/>
      <c r="H24" s="2"/>
      <c r="I24" s="1" t="n">
        <f aca="false">IF(E24&gt;=0.995,3,IF(E24&gt;0,2,1))</f>
        <v>2</v>
      </c>
      <c r="J24" s="1" t="s">
        <v>4</v>
      </c>
    </row>
    <row r="25" customFormat="false" ht="15" hidden="false" customHeight="true" outlineLevel="0" collapsed="false">
      <c r="A25" s="2" t="s">
        <v>141</v>
      </c>
      <c r="B25" s="2" t="s">
        <v>142</v>
      </c>
      <c r="C25" s="2" t="s">
        <v>143</v>
      </c>
      <c r="D25" s="2" t="n">
        <v>2</v>
      </c>
      <c r="E25" s="5" t="n">
        <f aca="false">SUMPRODUCT((D26:D28=3)*E26:E28)/COUNTIF(D26:D28,3)</f>
        <v>1</v>
      </c>
      <c r="F25" s="2" t="str">
        <f aca="false">IF(E25&gt;=0.995,"Completado",IF(E25&gt;0,"En curso","Pendiente"))</f>
        <v>Completado</v>
      </c>
      <c r="G25" s="6"/>
      <c r="H25" s="2"/>
      <c r="I25" s="1" t="n">
        <f aca="false">IF(E25&gt;=0.995,3,IF(E25&gt;0,2,1))</f>
        <v>3</v>
      </c>
      <c r="J25" s="1" t="s">
        <v>4</v>
      </c>
    </row>
    <row r="26" customFormat="false" ht="15" hidden="false" customHeight="true" outlineLevel="0" collapsed="false">
      <c r="A26" s="1" t="s">
        <v>144</v>
      </c>
      <c r="B26" s="1" t="s">
        <v>145</v>
      </c>
      <c r="C26" s="1" t="s">
        <v>146</v>
      </c>
      <c r="D26" s="1" t="n">
        <v>3</v>
      </c>
      <c r="E26" s="7" t="n">
        <v>1</v>
      </c>
      <c r="F26" s="1" t="str">
        <f aca="false">IF(E26&gt;=0.995,"Completado",IF(E26&gt;0,"En curso","Pendiente"))</f>
        <v>Completado</v>
      </c>
      <c r="G26" s="8" t="s">
        <v>147</v>
      </c>
      <c r="H26" s="4" t="s">
        <v>66</v>
      </c>
      <c r="I26" s="1" t="n">
        <f aca="false">IF(E26&gt;=0.995,3,IF(E26&gt;0,2,1))</f>
        <v>3</v>
      </c>
      <c r="J26" s="1" t="s">
        <v>4</v>
      </c>
    </row>
    <row r="27" customFormat="false" ht="15" hidden="false" customHeight="true" outlineLevel="0" collapsed="false">
      <c r="A27" s="1" t="s">
        <v>148</v>
      </c>
      <c r="B27" s="1" t="s">
        <v>149</v>
      </c>
      <c r="C27" s="1" t="s">
        <v>150</v>
      </c>
      <c r="D27" s="1" t="n">
        <v>3</v>
      </c>
      <c r="E27" s="7" t="n">
        <v>1</v>
      </c>
      <c r="F27" s="1" t="str">
        <f aca="false">IF(E27&gt;=0.995,"Completado",IF(E27&gt;0,"En curso","Pendiente"))</f>
        <v>Completado</v>
      </c>
      <c r="G27" s="8" t="s">
        <v>151</v>
      </c>
      <c r="H27" s="4" t="s">
        <v>66</v>
      </c>
      <c r="I27" s="1" t="n">
        <f aca="false">IF(E27&gt;=0.995,3,IF(E27&gt;0,2,1))</f>
        <v>3</v>
      </c>
      <c r="J27" s="1" t="s">
        <v>4</v>
      </c>
    </row>
    <row r="28" customFormat="false" ht="15" hidden="false" customHeight="true" outlineLevel="0" collapsed="false">
      <c r="A28" s="1" t="s">
        <v>152</v>
      </c>
      <c r="B28" s="1" t="s">
        <v>153</v>
      </c>
      <c r="C28" s="1" t="s">
        <v>154</v>
      </c>
      <c r="D28" s="1" t="n">
        <v>3</v>
      </c>
      <c r="E28" s="7" t="n">
        <v>1</v>
      </c>
      <c r="F28" s="1" t="str">
        <f aca="false">IF(E28&gt;=0.995,"Completado",IF(E28&gt;0,"En curso","Pendiente"))</f>
        <v>Completado</v>
      </c>
      <c r="G28" s="8" t="s">
        <v>151</v>
      </c>
      <c r="H28" s="4" t="s">
        <v>66</v>
      </c>
      <c r="I28" s="1" t="n">
        <f aca="false">IF(E28&gt;=0.995,3,IF(E28&gt;0,2,1))</f>
        <v>3</v>
      </c>
      <c r="J28" s="1" t="s">
        <v>4</v>
      </c>
    </row>
    <row r="29" customFormat="false" ht="15" hidden="false" customHeight="true" outlineLevel="0" collapsed="false">
      <c r="A29" s="2" t="s">
        <v>155</v>
      </c>
      <c r="B29" s="2" t="s">
        <v>156</v>
      </c>
      <c r="C29" s="2" t="s">
        <v>157</v>
      </c>
      <c r="D29" s="2" t="n">
        <v>2</v>
      </c>
      <c r="E29" s="5" t="n">
        <f aca="false">SUMPRODUCT((D30:D37=3)*E30:E37)/COUNTIF(D30:D37,3)</f>
        <v>0.8</v>
      </c>
      <c r="F29" s="2" t="str">
        <f aca="false">IF(E29&gt;=0.995,"Completado",IF(E29&gt;0,"En curso","Pendiente"))</f>
        <v>En curso</v>
      </c>
      <c r="G29" s="6"/>
      <c r="H29" s="2"/>
      <c r="I29" s="1" t="n">
        <f aca="false">IF(E29&gt;=0.995,3,IF(E29&gt;0,2,1))</f>
        <v>2</v>
      </c>
      <c r="J29" s="1" t="s">
        <v>4</v>
      </c>
    </row>
    <row r="30" customFormat="false" ht="15" hidden="false" customHeight="true" outlineLevel="0" collapsed="false">
      <c r="A30" s="1" t="s">
        <v>158</v>
      </c>
      <c r="B30" s="1" t="s">
        <v>159</v>
      </c>
      <c r="C30" s="1" t="s">
        <v>160</v>
      </c>
      <c r="D30" s="1" t="n">
        <v>3</v>
      </c>
      <c r="E30" s="7" t="n">
        <v>1</v>
      </c>
      <c r="F30" s="1" t="str">
        <f aca="false">IF(E30&gt;=0.995,"Completado",IF(E30&gt;0,"En curso","Pendiente"))</f>
        <v>Completado</v>
      </c>
      <c r="G30" s="8" t="s">
        <v>161</v>
      </c>
      <c r="H30" s="4" t="s">
        <v>71</v>
      </c>
      <c r="I30" s="1" t="n">
        <f aca="false">IF(E30&gt;=0.995,3,IF(E30&gt;0,2,1))</f>
        <v>3</v>
      </c>
      <c r="J30" s="1" t="s">
        <v>4</v>
      </c>
    </row>
    <row r="31" customFormat="false" ht="30" hidden="false" customHeight="true" outlineLevel="0" collapsed="false">
      <c r="A31" s="1" t="s">
        <v>162</v>
      </c>
      <c r="B31" s="1" t="s">
        <v>163</v>
      </c>
      <c r="C31" s="1" t="s">
        <v>164</v>
      </c>
      <c r="D31" s="1" t="n">
        <v>3</v>
      </c>
      <c r="E31" s="7" t="n">
        <v>0.85</v>
      </c>
      <c r="F31" s="1" t="str">
        <f aca="false">IF(E31&gt;=0.995,"Completado",IF(E31&gt;0,"En curso","Pendiente"))</f>
        <v>En curso</v>
      </c>
      <c r="G31" s="8" t="s">
        <v>165</v>
      </c>
      <c r="H31" s="4" t="s">
        <v>71</v>
      </c>
      <c r="I31" s="1" t="n">
        <f aca="false">IF(E31&gt;=0.995,3,IF(E31&gt;0,2,1))</f>
        <v>2</v>
      </c>
      <c r="J31" s="1" t="s">
        <v>4</v>
      </c>
    </row>
    <row r="32" customFormat="false" ht="15" hidden="false" customHeight="true" outlineLevel="0" collapsed="false">
      <c r="A32" s="1" t="s">
        <v>166</v>
      </c>
      <c r="B32" s="1" t="s">
        <v>167</v>
      </c>
      <c r="C32" s="1" t="s">
        <v>168</v>
      </c>
      <c r="D32" s="1" t="n">
        <v>3</v>
      </c>
      <c r="E32" s="7" t="n">
        <v>0.75</v>
      </c>
      <c r="F32" s="1" t="str">
        <f aca="false">IF(E32&gt;=0.995,"Completado",IF(E32&gt;0,"En curso","Pendiente"))</f>
        <v>En curso</v>
      </c>
      <c r="G32" s="8" t="s">
        <v>169</v>
      </c>
      <c r="H32" s="4" t="s">
        <v>66</v>
      </c>
      <c r="I32" s="1" t="n">
        <f aca="false">IF(E32&gt;=0.995,3,IF(E32&gt;0,2,1))</f>
        <v>2</v>
      </c>
      <c r="J32" s="1" t="s">
        <v>4</v>
      </c>
    </row>
    <row r="33" customFormat="false" ht="15" hidden="false" customHeight="true" outlineLevel="0" collapsed="false">
      <c r="A33" s="1" t="s">
        <v>170</v>
      </c>
      <c r="B33" s="1" t="s">
        <v>171</v>
      </c>
      <c r="C33" s="1" t="s">
        <v>172</v>
      </c>
      <c r="D33" s="1" t="n">
        <v>3</v>
      </c>
      <c r="E33" s="7" t="n">
        <v>0.9</v>
      </c>
      <c r="F33" s="1" t="str">
        <f aca="false">IF(E33&gt;=0.995,"Completado",IF(E33&gt;0,"En curso","Pendiente"))</f>
        <v>En curso</v>
      </c>
      <c r="G33" s="8" t="s">
        <v>173</v>
      </c>
      <c r="H33" s="4" t="s">
        <v>71</v>
      </c>
      <c r="I33" s="1" t="n">
        <f aca="false">IF(E33&gt;=0.995,3,IF(E33&gt;0,2,1))</f>
        <v>2</v>
      </c>
      <c r="J33" s="1" t="s">
        <v>4</v>
      </c>
    </row>
    <row r="34" customFormat="false" ht="15" hidden="false" customHeight="true" outlineLevel="0" collapsed="false">
      <c r="A34" s="1" t="s">
        <v>174</v>
      </c>
      <c r="B34" s="1" t="s">
        <v>175</v>
      </c>
      <c r="C34" s="1" t="s">
        <v>176</v>
      </c>
      <c r="D34" s="1" t="n">
        <v>3</v>
      </c>
      <c r="E34" s="7" t="n">
        <v>0.6</v>
      </c>
      <c r="F34" s="1" t="str">
        <f aca="false">IF(E34&gt;=0.995,"Completado",IF(E34&gt;0,"En curso","Pendiente"))</f>
        <v>En curso</v>
      </c>
      <c r="G34" s="8" t="s">
        <v>177</v>
      </c>
      <c r="H34" s="4" t="s">
        <v>66</v>
      </c>
      <c r="I34" s="1" t="n">
        <f aca="false">IF(E34&gt;=0.995,3,IF(E34&gt;0,2,1))</f>
        <v>2</v>
      </c>
      <c r="J34" s="1" t="s">
        <v>4</v>
      </c>
    </row>
    <row r="35" customFormat="false" ht="15" hidden="false" customHeight="true" outlineLevel="0" collapsed="false">
      <c r="A35" s="1" t="s">
        <v>178</v>
      </c>
      <c r="B35" s="1" t="s">
        <v>179</v>
      </c>
      <c r="C35" s="1" t="s">
        <v>180</v>
      </c>
      <c r="D35" s="1" t="n">
        <v>3</v>
      </c>
      <c r="E35" s="7" t="n">
        <v>1</v>
      </c>
      <c r="F35" s="1" t="str">
        <f aca="false">IF(E35&gt;=0.995,"Completado",IF(E35&gt;0,"En curso","Pendiente"))</f>
        <v>Completado</v>
      </c>
      <c r="G35" s="8" t="s">
        <v>181</v>
      </c>
      <c r="H35" s="4" t="s">
        <v>66</v>
      </c>
      <c r="I35" s="1" t="n">
        <f aca="false">IF(E35&gt;=0.995,3,IF(E35&gt;0,2,1))</f>
        <v>3</v>
      </c>
      <c r="J35" s="1" t="s">
        <v>4</v>
      </c>
    </row>
    <row r="36" customFormat="false" ht="27.75" hidden="false" customHeight="true" outlineLevel="0" collapsed="false">
      <c r="A36" s="1" t="s">
        <v>182</v>
      </c>
      <c r="B36" s="1" t="s">
        <v>183</v>
      </c>
      <c r="C36" s="1" t="s">
        <v>184</v>
      </c>
      <c r="D36" s="1" t="n">
        <v>3</v>
      </c>
      <c r="E36" s="7" t="n">
        <v>0.8</v>
      </c>
      <c r="F36" s="1" t="str">
        <f aca="false">IF(E36&gt;=0.995,"Completado",IF(E36&gt;0,"En curso","Pendiente"))</f>
        <v>En curso</v>
      </c>
      <c r="G36" s="8" t="s">
        <v>185</v>
      </c>
      <c r="H36" s="4" t="s">
        <v>71</v>
      </c>
      <c r="I36" s="1" t="n">
        <f aca="false">IF(E36&gt;=0.995,3,IF(E36&gt;0,2,1))</f>
        <v>2</v>
      </c>
      <c r="J36" s="1" t="s">
        <v>4</v>
      </c>
    </row>
    <row r="37" customFormat="false" ht="15" hidden="false" customHeight="true" outlineLevel="0" collapsed="false">
      <c r="A37" s="1" t="s">
        <v>186</v>
      </c>
      <c r="B37" s="1" t="s">
        <v>187</v>
      </c>
      <c r="C37" s="1" t="s">
        <v>188</v>
      </c>
      <c r="D37" s="1" t="n">
        <v>3</v>
      </c>
      <c r="E37" s="7" t="n">
        <v>0.5</v>
      </c>
      <c r="F37" s="1" t="str">
        <f aca="false">IF(E37&gt;=0.995,"Completado",IF(E37&gt;0,"En curso","Pendiente"))</f>
        <v>En curso</v>
      </c>
      <c r="G37" s="8" t="s">
        <v>189</v>
      </c>
      <c r="H37" s="4" t="s">
        <v>190</v>
      </c>
      <c r="I37" s="1" t="n">
        <f aca="false">IF(E37&gt;=0.995,3,IF(E37&gt;0,2,1))</f>
        <v>2</v>
      </c>
      <c r="J37" s="1" t="s">
        <v>4</v>
      </c>
    </row>
    <row r="38" customFormat="false" ht="15" hidden="false" customHeight="true" outlineLevel="0" collapsed="false">
      <c r="A38" s="2" t="s">
        <v>191</v>
      </c>
      <c r="B38" s="2" t="s">
        <v>192</v>
      </c>
      <c r="C38" s="2" t="s">
        <v>193</v>
      </c>
      <c r="D38" s="2" t="n">
        <v>2</v>
      </c>
      <c r="E38" s="5" t="n">
        <f aca="false">SUMPRODUCT((D39:D39=3)*E39:E39)/COUNTIF(D39:D39,3)</f>
        <v>0.6</v>
      </c>
      <c r="F38" s="2" t="str">
        <f aca="false">IF(E38&gt;=0.995,"Completado",IF(E38&gt;0,"En curso","Pendiente"))</f>
        <v>En curso</v>
      </c>
      <c r="G38" s="6"/>
      <c r="H38" s="2"/>
      <c r="I38" s="1" t="n">
        <f aca="false">IF(E38&gt;=0.995,3,IF(E38&gt;0,2,1))</f>
        <v>2</v>
      </c>
      <c r="J38" s="1" t="s">
        <v>4</v>
      </c>
    </row>
    <row r="39" customFormat="false" ht="15" hidden="false" customHeight="true" outlineLevel="0" collapsed="false">
      <c r="A39" s="1" t="s">
        <v>194</v>
      </c>
      <c r="B39" s="1" t="s">
        <v>195</v>
      </c>
      <c r="C39" s="1" t="s">
        <v>196</v>
      </c>
      <c r="D39" s="1" t="n">
        <v>3</v>
      </c>
      <c r="E39" s="7" t="n">
        <v>0.6</v>
      </c>
      <c r="F39" s="1" t="str">
        <f aca="false">IF(E39&gt;=0.995,"Completado",IF(E39&gt;0,"En curso","Pendiente"))</f>
        <v>En curso</v>
      </c>
      <c r="G39" s="8" t="s">
        <v>197</v>
      </c>
      <c r="H39" s="4" t="s">
        <v>190</v>
      </c>
      <c r="I39" s="1" t="n">
        <f aca="false">IF(E39&gt;=0.995,3,IF(E39&gt;0,2,1))</f>
        <v>2</v>
      </c>
      <c r="J39" s="1" t="s">
        <v>4</v>
      </c>
    </row>
    <row r="40" customFormat="false" ht="30" hidden="false" customHeight="true" outlineLevel="0" collapsed="false">
      <c r="A40" s="2" t="s">
        <v>198</v>
      </c>
      <c r="B40" s="2" t="s">
        <v>199</v>
      </c>
      <c r="C40" s="2" t="s">
        <v>200</v>
      </c>
      <c r="D40" s="2" t="n">
        <v>2</v>
      </c>
      <c r="E40" s="5" t="n">
        <f aca="false">SUMPRODUCT((D41:D48=3)*E41:E48)/COUNTIF(D41:D48,3)</f>
        <v>0.9375</v>
      </c>
      <c r="F40" s="2" t="str">
        <f aca="false">IF(E40&gt;=0.995,"Completado",IF(E40&gt;0,"En curso","Pendiente"))</f>
        <v>En curso</v>
      </c>
      <c r="G40" s="6"/>
      <c r="H40" s="2"/>
      <c r="I40" s="1" t="n">
        <f aca="false">IF(E40&gt;=0.995,3,IF(E40&gt;0,2,1))</f>
        <v>2</v>
      </c>
      <c r="J40" s="1" t="s">
        <v>4</v>
      </c>
    </row>
    <row r="41" customFormat="false" ht="41.25" hidden="false" customHeight="true" outlineLevel="0" collapsed="false">
      <c r="A41" s="1" t="s">
        <v>201</v>
      </c>
      <c r="B41" s="1" t="s">
        <v>202</v>
      </c>
      <c r="C41" s="1" t="s">
        <v>203</v>
      </c>
      <c r="D41" s="1" t="n">
        <v>3</v>
      </c>
      <c r="E41" s="7" t="n">
        <v>1</v>
      </c>
      <c r="F41" s="1" t="str">
        <f aca="false">IF(E41&gt;=0.995,"Completado",IF(E41&gt;0,"En curso","Pendiente"))</f>
        <v>Completado</v>
      </c>
      <c r="G41" s="8" t="s">
        <v>204</v>
      </c>
      <c r="H41" s="4" t="s">
        <v>66</v>
      </c>
      <c r="I41" s="1" t="n">
        <f aca="false">IF(E41&gt;=0.995,3,IF(E41&gt;0,2,1))</f>
        <v>3</v>
      </c>
      <c r="J41" s="1" t="s">
        <v>4</v>
      </c>
    </row>
    <row r="42" customFormat="false" ht="30" hidden="false" customHeight="true" outlineLevel="0" collapsed="false">
      <c r="A42" s="1" t="s">
        <v>205</v>
      </c>
      <c r="B42" s="1" t="s">
        <v>206</v>
      </c>
      <c r="C42" s="1" t="s">
        <v>207</v>
      </c>
      <c r="D42" s="1" t="n">
        <v>3</v>
      </c>
      <c r="E42" s="7" t="n">
        <v>1</v>
      </c>
      <c r="F42" s="1" t="str">
        <f aca="false">IF(E42&gt;=0.995,"Completado",IF(E42&gt;0,"En curso","Pendiente"))</f>
        <v>Completado</v>
      </c>
      <c r="G42" s="8" t="s">
        <v>208</v>
      </c>
      <c r="H42" s="4" t="s">
        <v>71</v>
      </c>
      <c r="I42" s="1" t="n">
        <f aca="false">IF(E42&gt;=0.995,3,IF(E42&gt;0,2,1))</f>
        <v>3</v>
      </c>
      <c r="J42" s="1" t="s">
        <v>4</v>
      </c>
    </row>
    <row r="43" customFormat="false" ht="41.25" hidden="false" customHeight="true" outlineLevel="0" collapsed="false">
      <c r="A43" s="1" t="s">
        <v>209</v>
      </c>
      <c r="B43" s="1" t="s">
        <v>210</v>
      </c>
      <c r="C43" s="1" t="s">
        <v>211</v>
      </c>
      <c r="D43" s="1" t="n">
        <v>3</v>
      </c>
      <c r="E43" s="7" t="n">
        <v>1</v>
      </c>
      <c r="F43" s="1" t="str">
        <f aca="false">IF(E43&gt;=0.995,"Completado",IF(E43&gt;0,"En curso","Pendiente"))</f>
        <v>Completado</v>
      </c>
      <c r="G43" s="8" t="s">
        <v>212</v>
      </c>
      <c r="H43" s="4" t="s">
        <v>66</v>
      </c>
      <c r="I43" s="1" t="n">
        <f aca="false">IF(E43&gt;=0.995,3,IF(E43&gt;0,2,1))</f>
        <v>3</v>
      </c>
      <c r="J43" s="1" t="s">
        <v>4</v>
      </c>
    </row>
    <row r="44" customFormat="false" ht="54.75" hidden="false" customHeight="true" outlineLevel="0" collapsed="false">
      <c r="A44" s="1" t="s">
        <v>213</v>
      </c>
      <c r="B44" s="1" t="s">
        <v>214</v>
      </c>
      <c r="C44" s="1" t="s">
        <v>215</v>
      </c>
      <c r="D44" s="1" t="n">
        <v>3</v>
      </c>
      <c r="E44" s="7" t="n">
        <v>1</v>
      </c>
      <c r="F44" s="1" t="str">
        <f aca="false">IF(E44&gt;=0.995,"Completado",IF(E44&gt;0,"En curso","Pendiente"))</f>
        <v>Completado</v>
      </c>
      <c r="G44" s="8" t="s">
        <v>216</v>
      </c>
      <c r="H44" s="4" t="s">
        <v>66</v>
      </c>
      <c r="I44" s="1" t="n">
        <f aca="false">IF(E44&gt;=0.995,3,IF(E44&gt;0,2,1))</f>
        <v>3</v>
      </c>
      <c r="J44" s="1" t="s">
        <v>4</v>
      </c>
    </row>
    <row r="45" customFormat="false" ht="54.75" hidden="false" customHeight="true" outlineLevel="0" collapsed="false">
      <c r="A45" s="1" t="s">
        <v>217</v>
      </c>
      <c r="B45" s="1" t="s">
        <v>218</v>
      </c>
      <c r="C45" s="1" t="s">
        <v>219</v>
      </c>
      <c r="D45" s="1" t="n">
        <v>3</v>
      </c>
      <c r="E45" s="7" t="n">
        <v>0.9</v>
      </c>
      <c r="F45" s="1" t="str">
        <f aca="false">IF(E45&gt;=0.995,"Completado",IF(E45&gt;0,"En curso","Pendiente"))</f>
        <v>En curso</v>
      </c>
      <c r="G45" s="8" t="s">
        <v>220</v>
      </c>
      <c r="H45" s="4" t="s">
        <v>66</v>
      </c>
      <c r="I45" s="1" t="n">
        <f aca="false">IF(E45&gt;=0.995,3,IF(E45&gt;0,2,1))</f>
        <v>2</v>
      </c>
      <c r="J45" s="1" t="s">
        <v>4</v>
      </c>
    </row>
    <row r="46" customFormat="false" ht="15" hidden="false" customHeight="true" outlineLevel="0" collapsed="false">
      <c r="A46" s="1" t="s">
        <v>221</v>
      </c>
      <c r="B46" s="1" t="s">
        <v>222</v>
      </c>
      <c r="C46" s="1" t="s">
        <v>223</v>
      </c>
      <c r="D46" s="1" t="n">
        <v>3</v>
      </c>
      <c r="E46" s="7" t="n">
        <v>0.9</v>
      </c>
      <c r="F46" s="1" t="str">
        <f aca="false">IF(E46&gt;=0.995,"Completado",IF(E46&gt;0,"En curso","Pendiente"))</f>
        <v>En curso</v>
      </c>
      <c r="G46" s="8" t="s">
        <v>224</v>
      </c>
      <c r="H46" s="4" t="s">
        <v>71</v>
      </c>
      <c r="I46" s="1" t="n">
        <f aca="false">IF(E46&gt;=0.995,3,IF(E46&gt;0,2,1))</f>
        <v>2</v>
      </c>
      <c r="J46" s="1" t="s">
        <v>4</v>
      </c>
    </row>
    <row r="47" customFormat="false" ht="41.25" hidden="false" customHeight="true" outlineLevel="0" collapsed="false">
      <c r="A47" s="1" t="s">
        <v>225</v>
      </c>
      <c r="B47" s="1" t="s">
        <v>226</v>
      </c>
      <c r="C47" s="1" t="s">
        <v>227</v>
      </c>
      <c r="D47" s="1" t="n">
        <v>3</v>
      </c>
      <c r="E47" s="7" t="n">
        <v>1</v>
      </c>
      <c r="F47" s="1" t="str">
        <f aca="false">IF(E47&gt;=0.995,"Completado",IF(E47&gt;0,"En curso","Pendiente"))</f>
        <v>Completado</v>
      </c>
      <c r="G47" s="8" t="s">
        <v>228</v>
      </c>
      <c r="H47" s="4" t="s">
        <v>66</v>
      </c>
      <c r="I47" s="1" t="n">
        <f aca="false">IF(E47&gt;=0.995,3,IF(E47&gt;0,2,1))</f>
        <v>3</v>
      </c>
      <c r="J47" s="1" t="s">
        <v>4</v>
      </c>
    </row>
    <row r="48" customFormat="false" ht="15" hidden="false" customHeight="true" outlineLevel="0" collapsed="false">
      <c r="A48" s="1" t="s">
        <v>229</v>
      </c>
      <c r="B48" s="1" t="s">
        <v>230</v>
      </c>
      <c r="C48" s="1" t="s">
        <v>231</v>
      </c>
      <c r="D48" s="1" t="n">
        <v>3</v>
      </c>
      <c r="E48" s="7" t="n">
        <v>0.7</v>
      </c>
      <c r="F48" s="1" t="str">
        <f aca="false">IF(E48&gt;=0.995,"Completado",IF(E48&gt;0,"En curso","Pendiente"))</f>
        <v>En curso</v>
      </c>
      <c r="G48" s="8" t="s">
        <v>232</v>
      </c>
      <c r="H48" s="4" t="s">
        <v>66</v>
      </c>
      <c r="I48" s="1" t="n">
        <f aca="false">IF(E48&gt;=0.995,3,IF(E48&gt;0,2,1))</f>
        <v>2</v>
      </c>
      <c r="J48" s="1" t="s">
        <v>4</v>
      </c>
    </row>
    <row r="49" customFormat="false" ht="30" hidden="false" customHeight="true" outlineLevel="0" collapsed="false">
      <c r="A49" s="2" t="s">
        <v>233</v>
      </c>
      <c r="B49" s="2" t="s">
        <v>234</v>
      </c>
      <c r="C49" s="2" t="s">
        <v>235</v>
      </c>
      <c r="D49" s="2" t="n">
        <v>2</v>
      </c>
      <c r="E49" s="5" t="n">
        <f aca="false">SUMPRODUCT((D50:D54=3)*E50:E54)/COUNTIF(D50:D54,3)</f>
        <v>0.53</v>
      </c>
      <c r="F49" s="2" t="str">
        <f aca="false">IF(E49&gt;=0.995,"Completado",IF(E49&gt;0,"En curso","Pendiente"))</f>
        <v>En curso</v>
      </c>
      <c r="G49" s="6"/>
      <c r="H49" s="2"/>
      <c r="I49" s="1" t="n">
        <f aca="false">IF(E49&gt;=0.995,3,IF(E49&gt;0,2,1))</f>
        <v>2</v>
      </c>
      <c r="J49" s="1" t="s">
        <v>4</v>
      </c>
    </row>
    <row r="50" customFormat="false" ht="27.75" hidden="false" customHeight="true" outlineLevel="0" collapsed="false">
      <c r="A50" s="1" t="s">
        <v>236</v>
      </c>
      <c r="B50" s="1" t="s">
        <v>237</v>
      </c>
      <c r="C50" s="1" t="s">
        <v>238</v>
      </c>
      <c r="D50" s="1" t="n">
        <v>3</v>
      </c>
      <c r="E50" s="7" t="n">
        <v>1</v>
      </c>
      <c r="F50" s="1" t="str">
        <f aca="false">IF(E50&gt;=0.995,"Completado",IF(E50&gt;0,"En curso","Pendiente"))</f>
        <v>Completado</v>
      </c>
      <c r="G50" s="8" t="s">
        <v>239</v>
      </c>
      <c r="H50" s="4" t="s">
        <v>71</v>
      </c>
      <c r="I50" s="1" t="n">
        <f aca="false">IF(E50&gt;=0.995,3,IF(E50&gt;0,2,1))</f>
        <v>3</v>
      </c>
      <c r="J50" s="1" t="s">
        <v>4</v>
      </c>
    </row>
    <row r="51" customFormat="false" ht="27.75" hidden="false" customHeight="true" outlineLevel="0" collapsed="false">
      <c r="A51" s="1" t="s">
        <v>240</v>
      </c>
      <c r="B51" s="1" t="s">
        <v>241</v>
      </c>
      <c r="C51" s="1" t="s">
        <v>242</v>
      </c>
      <c r="D51" s="1" t="n">
        <v>3</v>
      </c>
      <c r="E51" s="7" t="n">
        <v>0.85</v>
      </c>
      <c r="F51" s="1" t="str">
        <f aca="false">IF(E51&gt;=0.995,"Completado",IF(E51&gt;0,"En curso","Pendiente"))</f>
        <v>En curso</v>
      </c>
      <c r="G51" s="8" t="s">
        <v>243</v>
      </c>
      <c r="H51" s="4" t="s">
        <v>71</v>
      </c>
      <c r="I51" s="1" t="n">
        <f aca="false">IF(E51&gt;=0.995,3,IF(E51&gt;0,2,1))</f>
        <v>2</v>
      </c>
      <c r="J51" s="1" t="s">
        <v>4</v>
      </c>
    </row>
    <row r="52" customFormat="false" ht="27.75" hidden="false" customHeight="true" outlineLevel="0" collapsed="false">
      <c r="A52" s="1" t="s">
        <v>244</v>
      </c>
      <c r="B52" s="1" t="s">
        <v>245</v>
      </c>
      <c r="C52" s="1" t="s">
        <v>246</v>
      </c>
      <c r="D52" s="1" t="n">
        <v>3</v>
      </c>
      <c r="E52" s="7" t="n">
        <v>0.4</v>
      </c>
      <c r="F52" s="1" t="str">
        <f aca="false">IF(E52&gt;=0.995,"Completado",IF(E52&gt;0,"En curso","Pendiente"))</f>
        <v>En curso</v>
      </c>
      <c r="G52" s="8" t="s">
        <v>247</v>
      </c>
      <c r="H52" s="4" t="s">
        <v>66</v>
      </c>
      <c r="I52" s="1" t="n">
        <f aca="false">IF(E52&gt;=0.995,3,IF(E52&gt;0,2,1))</f>
        <v>2</v>
      </c>
      <c r="J52" s="1" t="s">
        <v>4</v>
      </c>
    </row>
    <row r="53" customFormat="false" ht="27.75" hidden="false" customHeight="true" outlineLevel="0" collapsed="false">
      <c r="A53" s="1" t="s">
        <v>248</v>
      </c>
      <c r="B53" s="1" t="s">
        <v>249</v>
      </c>
      <c r="C53" s="1" t="s">
        <v>250</v>
      </c>
      <c r="D53" s="1" t="n">
        <v>3</v>
      </c>
      <c r="E53" s="7" t="n">
        <v>0.4</v>
      </c>
      <c r="F53" s="1" t="str">
        <f aca="false">IF(E53&gt;=0.995,"Completado",IF(E53&gt;0,"En curso","Pendiente"))</f>
        <v>En curso</v>
      </c>
      <c r="G53" s="8" t="s">
        <v>251</v>
      </c>
      <c r="H53" s="4" t="s">
        <v>66</v>
      </c>
      <c r="I53" s="1" t="n">
        <f aca="false">IF(E53&gt;=0.995,3,IF(E53&gt;0,2,1))</f>
        <v>2</v>
      </c>
      <c r="J53" s="1" t="s">
        <v>4</v>
      </c>
    </row>
    <row r="54" customFormat="false" ht="27.75" hidden="false" customHeight="true" outlineLevel="0" collapsed="false">
      <c r="A54" s="1" t="s">
        <v>252</v>
      </c>
      <c r="B54" s="1" t="s">
        <v>253</v>
      </c>
      <c r="C54" s="1" t="s">
        <v>254</v>
      </c>
      <c r="D54" s="1" t="n">
        <v>3</v>
      </c>
      <c r="E54" s="7" t="n">
        <v>0</v>
      </c>
      <c r="F54" s="1" t="str">
        <f aca="false">IF(E54&gt;=0.995,"Completado",IF(E54&gt;0,"En curso","Pendiente"))</f>
        <v>Pendiente</v>
      </c>
      <c r="G54" s="8" t="s">
        <v>255</v>
      </c>
      <c r="H54" s="4" t="s">
        <v>71</v>
      </c>
      <c r="I54" s="1" t="n">
        <f aca="false">IF(E54&gt;=0.995,3,IF(E54&gt;0,2,1))</f>
        <v>1</v>
      </c>
      <c r="J54" s="1" t="s">
        <v>4</v>
      </c>
    </row>
    <row r="55" customFormat="false" ht="15" hidden="false" customHeight="true" outlineLevel="0" collapsed="false">
      <c r="A55" s="2" t="s">
        <v>256</v>
      </c>
      <c r="B55" s="2" t="s">
        <v>257</v>
      </c>
      <c r="C55" s="2" t="s">
        <v>258</v>
      </c>
      <c r="D55" s="2" t="n">
        <v>1</v>
      </c>
      <c r="E55" s="5" t="n">
        <f aca="false">SUMPRODUCT((D56:D63=3)*E56:E63)/COUNTIF(D56:D63,3)</f>
        <v>0.508333333333333</v>
      </c>
      <c r="F55" s="2" t="str">
        <f aca="false">IF(E55&gt;=0.995,"Completado",IF(E55&gt;0,"En curso","Pendiente"))</f>
        <v>En curso</v>
      </c>
      <c r="G55" s="6"/>
      <c r="H55" s="2"/>
      <c r="I55" s="1" t="n">
        <f aca="false">IF(E55&gt;=0.995,3,IF(E55&gt;0,2,1))</f>
        <v>2</v>
      </c>
      <c r="J55" s="1" t="s">
        <v>259</v>
      </c>
    </row>
    <row r="56" customFormat="false" ht="30" hidden="false" customHeight="true" outlineLevel="0" collapsed="false">
      <c r="A56" s="2" t="s">
        <v>260</v>
      </c>
      <c r="B56" s="2" t="s">
        <v>261</v>
      </c>
      <c r="C56" s="2" t="s">
        <v>262</v>
      </c>
      <c r="D56" s="2" t="n">
        <v>2</v>
      </c>
      <c r="E56" s="5" t="n">
        <f aca="false">SUMPRODUCT((D57:D60=3)*E57:E60)/COUNTIF(D57:D60,3)</f>
        <v>0.6125</v>
      </c>
      <c r="F56" s="2" t="str">
        <f aca="false">IF(E56&gt;=0.995,"Completado",IF(E56&gt;0,"En curso","Pendiente"))</f>
        <v>En curso</v>
      </c>
      <c r="G56" s="6"/>
      <c r="H56" s="2"/>
      <c r="I56" s="1" t="n">
        <f aca="false">IF(E56&gt;=0.995,3,IF(E56&gt;0,2,1))</f>
        <v>2</v>
      </c>
      <c r="J56" s="1" t="s">
        <v>259</v>
      </c>
    </row>
    <row r="57" customFormat="false" ht="15" hidden="false" customHeight="true" outlineLevel="0" collapsed="false">
      <c r="A57" s="1" t="s">
        <v>263</v>
      </c>
      <c r="B57" s="1" t="s">
        <v>264</v>
      </c>
      <c r="C57" s="1" t="s">
        <v>265</v>
      </c>
      <c r="D57" s="1" t="n">
        <v>3</v>
      </c>
      <c r="E57" s="7" t="n">
        <v>1</v>
      </c>
      <c r="F57" s="1" t="str">
        <f aca="false">IF(E57&gt;=0.995,"Completado",IF(E57&gt;0,"En curso","Pendiente"))</f>
        <v>Completado</v>
      </c>
      <c r="G57" s="8" t="s">
        <v>266</v>
      </c>
      <c r="H57" s="4" t="s">
        <v>71</v>
      </c>
      <c r="I57" s="1" t="n">
        <f aca="false">IF(E57&gt;=0.995,3,IF(E57&gt;0,2,1))</f>
        <v>3</v>
      </c>
      <c r="J57" s="1" t="s">
        <v>259</v>
      </c>
    </row>
    <row r="58" customFormat="false" ht="15" hidden="false" customHeight="true" outlineLevel="0" collapsed="false">
      <c r="A58" s="1" t="s">
        <v>267</v>
      </c>
      <c r="B58" s="1" t="s">
        <v>268</v>
      </c>
      <c r="C58" s="1" t="s">
        <v>269</v>
      </c>
      <c r="D58" s="1" t="n">
        <v>3</v>
      </c>
      <c r="E58" s="7" t="n">
        <v>0.7</v>
      </c>
      <c r="F58" s="1" t="str">
        <f aca="false">IF(E58&gt;=0.995,"Completado",IF(E58&gt;0,"En curso","Pendiente"))</f>
        <v>En curso</v>
      </c>
      <c r="G58" s="8" t="s">
        <v>270</v>
      </c>
      <c r="H58" s="4" t="s">
        <v>71</v>
      </c>
      <c r="I58" s="1" t="n">
        <f aca="false">IF(E58&gt;=0.995,3,IF(E58&gt;0,2,1))</f>
        <v>2</v>
      </c>
      <c r="J58" s="1" t="s">
        <v>259</v>
      </c>
    </row>
    <row r="59" customFormat="false" ht="41.25" hidden="false" customHeight="true" outlineLevel="0" collapsed="false">
      <c r="A59" s="1" t="s">
        <v>271</v>
      </c>
      <c r="B59" s="1" t="s">
        <v>272</v>
      </c>
      <c r="C59" s="1" t="s">
        <v>273</v>
      </c>
      <c r="D59" s="1" t="n">
        <v>3</v>
      </c>
      <c r="E59" s="7" t="n">
        <v>0.75</v>
      </c>
      <c r="F59" s="1" t="str">
        <f aca="false">IF(E59&gt;=0.995,"Completado",IF(E59&gt;0,"En curso","Pendiente"))</f>
        <v>En curso</v>
      </c>
      <c r="G59" s="8" t="s">
        <v>274</v>
      </c>
      <c r="H59" s="4" t="s">
        <v>71</v>
      </c>
      <c r="I59" s="1" t="n">
        <f aca="false">IF(E59&gt;=0.995,3,IF(E59&gt;0,2,1))</f>
        <v>2</v>
      </c>
      <c r="J59" s="1" t="s">
        <v>259</v>
      </c>
    </row>
    <row r="60" customFormat="false" ht="15" hidden="false" customHeight="true" outlineLevel="0" collapsed="false">
      <c r="A60" s="1" t="s">
        <v>275</v>
      </c>
      <c r="B60" s="1" t="s">
        <v>276</v>
      </c>
      <c r="C60" s="1" t="s">
        <v>277</v>
      </c>
      <c r="D60" s="1" t="n">
        <v>3</v>
      </c>
      <c r="E60" s="7" t="n">
        <v>0</v>
      </c>
      <c r="F60" s="1" t="str">
        <f aca="false">IF(E60&gt;=0.995,"Completado",IF(E60&gt;0,"En curso","Pendiente"))</f>
        <v>Pendiente</v>
      </c>
      <c r="G60" s="8" t="s">
        <v>278</v>
      </c>
      <c r="H60" s="4" t="s">
        <v>71</v>
      </c>
      <c r="I60" s="1" t="n">
        <f aca="false">IF(E60&gt;=0.995,3,IF(E60&gt;0,2,1))</f>
        <v>1</v>
      </c>
      <c r="J60" s="1" t="s">
        <v>259</v>
      </c>
    </row>
    <row r="61" customFormat="false" ht="15" hidden="false" customHeight="true" outlineLevel="0" collapsed="false">
      <c r="A61" s="2" t="s">
        <v>279</v>
      </c>
      <c r="B61" s="2" t="s">
        <v>280</v>
      </c>
      <c r="C61" s="2" t="s">
        <v>281</v>
      </c>
      <c r="D61" s="2" t="n">
        <v>2</v>
      </c>
      <c r="E61" s="5" t="n">
        <f aca="false">SUMPRODUCT((D62:D63=3)*E62:E63)/COUNTIF(D62:D63,3)</f>
        <v>0.3</v>
      </c>
      <c r="F61" s="2" t="str">
        <f aca="false">IF(E61&gt;=0.995,"Completado",IF(E61&gt;0,"En curso","Pendiente"))</f>
        <v>En curso</v>
      </c>
      <c r="G61" s="6"/>
      <c r="H61" s="2"/>
      <c r="I61" s="1" t="n">
        <f aca="false">IF(E61&gt;=0.995,3,IF(E61&gt;0,2,1))</f>
        <v>2</v>
      </c>
      <c r="J61" s="1" t="s">
        <v>259</v>
      </c>
    </row>
    <row r="62" customFormat="false" ht="15" hidden="false" customHeight="true" outlineLevel="0" collapsed="false">
      <c r="A62" s="1" t="s">
        <v>282</v>
      </c>
      <c r="B62" s="1" t="s">
        <v>283</v>
      </c>
      <c r="C62" s="1" t="s">
        <v>284</v>
      </c>
      <c r="D62" s="1" t="n">
        <v>3</v>
      </c>
      <c r="E62" s="7" t="n">
        <v>0.6</v>
      </c>
      <c r="F62" s="1" t="str">
        <f aca="false">IF(E62&gt;=0.995,"Completado",IF(E62&gt;0,"En curso","Pendiente"))</f>
        <v>En curso</v>
      </c>
      <c r="G62" s="8" t="s">
        <v>285</v>
      </c>
      <c r="H62" s="4" t="s">
        <v>71</v>
      </c>
      <c r="I62" s="1" t="n">
        <f aca="false">IF(E62&gt;=0.995,3,IF(E62&gt;0,2,1))</f>
        <v>2</v>
      </c>
      <c r="J62" s="1" t="s">
        <v>259</v>
      </c>
    </row>
    <row r="63" customFormat="false" ht="15" hidden="false" customHeight="true" outlineLevel="0" collapsed="false">
      <c r="A63" s="1" t="s">
        <v>286</v>
      </c>
      <c r="B63" s="1" t="s">
        <v>287</v>
      </c>
      <c r="C63" s="1" t="s">
        <v>288</v>
      </c>
      <c r="D63" s="1" t="n">
        <v>3</v>
      </c>
      <c r="E63" s="7" t="n">
        <v>0</v>
      </c>
      <c r="F63" s="1" t="str">
        <f aca="false">IF(E63&gt;=0.995,"Completado",IF(E63&gt;0,"En curso","Pendiente"))</f>
        <v>Pendiente</v>
      </c>
      <c r="G63" s="8" t="s">
        <v>289</v>
      </c>
      <c r="H63" s="4" t="s">
        <v>190</v>
      </c>
      <c r="I63" s="1" t="n">
        <f aca="false">IF(E63&gt;=0.995,3,IF(E63&gt;0,2,1))</f>
        <v>1</v>
      </c>
      <c r="J63" s="1" t="s">
        <v>259</v>
      </c>
    </row>
    <row r="64" customFormat="false" ht="15" hidden="false" customHeight="true" outlineLevel="0" collapsed="false">
      <c r="A64" s="2" t="s">
        <v>290</v>
      </c>
      <c r="B64" s="2" t="s">
        <v>291</v>
      </c>
      <c r="C64" s="2" t="s">
        <v>292</v>
      </c>
      <c r="D64" s="2" t="n">
        <v>1</v>
      </c>
      <c r="E64" s="5" t="n">
        <f aca="false">SUMPRODUCT((D65:D85=3)*E65:E85)/COUNTIF(D65:D85,3)</f>
        <v>0.492105263157895</v>
      </c>
      <c r="F64" s="2" t="str">
        <f aca="false">IF(E64&gt;=0.995,"Completado",IF(E64&gt;0,"En curso","Pendiente"))</f>
        <v>En curso</v>
      </c>
      <c r="G64" s="6"/>
      <c r="H64" s="2"/>
      <c r="I64" s="1" t="n">
        <f aca="false">IF(E64&gt;=0.995,3,IF(E64&gt;0,2,1))</f>
        <v>2</v>
      </c>
      <c r="J64" s="1" t="s">
        <v>259</v>
      </c>
    </row>
    <row r="65" customFormat="false" ht="15" hidden="false" customHeight="true" outlineLevel="0" collapsed="false">
      <c r="A65" s="2" t="s">
        <v>293</v>
      </c>
      <c r="B65" s="2" t="s">
        <v>294</v>
      </c>
      <c r="C65" s="2" t="s">
        <v>295</v>
      </c>
      <c r="D65" s="2" t="n">
        <v>2</v>
      </c>
      <c r="E65" s="5" t="n">
        <f aca="false">SUMPRODUCT((D66:D77=3)*E66:E77)/COUNTIF(D66:D77,3)</f>
        <v>0.541666666666667</v>
      </c>
      <c r="F65" s="2" t="str">
        <f aca="false">IF(E65&gt;=0.995,"Completado",IF(E65&gt;0,"En curso","Pendiente"))</f>
        <v>En curso</v>
      </c>
      <c r="G65" s="6"/>
      <c r="H65" s="2"/>
      <c r="I65" s="1" t="n">
        <f aca="false">IF(E65&gt;=0.995,3,IF(E65&gt;0,2,1))</f>
        <v>2</v>
      </c>
      <c r="J65" s="1" t="s">
        <v>259</v>
      </c>
    </row>
    <row r="66" customFormat="false" ht="30" hidden="false" customHeight="true" outlineLevel="0" collapsed="false">
      <c r="A66" s="1" t="s">
        <v>296</v>
      </c>
      <c r="B66" s="1" t="s">
        <v>297</v>
      </c>
      <c r="C66" s="1" t="s">
        <v>298</v>
      </c>
      <c r="D66" s="1" t="n">
        <v>3</v>
      </c>
      <c r="E66" s="7" t="n">
        <v>0.5</v>
      </c>
      <c r="F66" s="1" t="str">
        <f aca="false">IF(E66&gt;=0.995,"Completado",IF(E66&gt;0,"En curso","Pendiente"))</f>
        <v>En curso</v>
      </c>
      <c r="G66" s="8" t="s">
        <v>299</v>
      </c>
      <c r="H66" s="4" t="s">
        <v>71</v>
      </c>
      <c r="I66" s="1" t="n">
        <f aca="false">IF(E66&gt;=0.995,3,IF(E66&gt;0,2,1))</f>
        <v>2</v>
      </c>
      <c r="J66" s="1" t="s">
        <v>259</v>
      </c>
    </row>
    <row r="67" customFormat="false" ht="15" hidden="false" customHeight="true" outlineLevel="0" collapsed="false">
      <c r="A67" s="1" t="s">
        <v>300</v>
      </c>
      <c r="B67" s="1" t="s">
        <v>301</v>
      </c>
      <c r="C67" s="1" t="s">
        <v>302</v>
      </c>
      <c r="D67" s="1" t="n">
        <v>3</v>
      </c>
      <c r="E67" s="7" t="n">
        <v>0.65</v>
      </c>
      <c r="F67" s="1" t="str">
        <f aca="false">IF(E67&gt;=0.995,"Completado",IF(E67&gt;0,"En curso","Pendiente"))</f>
        <v>En curso</v>
      </c>
      <c r="G67" s="8" t="s">
        <v>303</v>
      </c>
      <c r="H67" s="4" t="s">
        <v>71</v>
      </c>
      <c r="I67" s="1" t="n">
        <f aca="false">IF(E67&gt;=0.995,3,IF(E67&gt;0,2,1))</f>
        <v>2</v>
      </c>
      <c r="J67" s="1" t="s">
        <v>259</v>
      </c>
    </row>
    <row r="68" customFormat="false" ht="30" hidden="false" customHeight="true" outlineLevel="0" collapsed="false">
      <c r="A68" s="1" t="s">
        <v>304</v>
      </c>
      <c r="B68" s="1" t="s">
        <v>305</v>
      </c>
      <c r="C68" s="1" t="s">
        <v>306</v>
      </c>
      <c r="D68" s="1" t="n">
        <v>3</v>
      </c>
      <c r="E68" s="7" t="n">
        <v>1</v>
      </c>
      <c r="F68" s="1" t="str">
        <f aca="false">IF(E68&gt;=0.995,"Completado",IF(E68&gt;0,"En curso","Pendiente"))</f>
        <v>Completado</v>
      </c>
      <c r="G68" s="8" t="s">
        <v>307</v>
      </c>
      <c r="H68" s="4" t="s">
        <v>71</v>
      </c>
      <c r="I68" s="1" t="n">
        <f aca="false">IF(E68&gt;=0.995,3,IF(E68&gt;0,2,1))</f>
        <v>3</v>
      </c>
      <c r="J68" s="1" t="s">
        <v>259</v>
      </c>
    </row>
    <row r="69" customFormat="false" ht="15" hidden="false" customHeight="true" outlineLevel="0" collapsed="false">
      <c r="A69" s="1" t="s">
        <v>308</v>
      </c>
      <c r="B69" s="1" t="s">
        <v>309</v>
      </c>
      <c r="C69" s="1" t="s">
        <v>310</v>
      </c>
      <c r="D69" s="1" t="n">
        <v>3</v>
      </c>
      <c r="E69" s="7" t="n">
        <v>0.6</v>
      </c>
      <c r="F69" s="1" t="str">
        <f aca="false">IF(E69&gt;=0.995,"Completado",IF(E69&gt;0,"En curso","Pendiente"))</f>
        <v>En curso</v>
      </c>
      <c r="G69" s="8" t="s">
        <v>311</v>
      </c>
      <c r="H69" s="4" t="s">
        <v>71</v>
      </c>
      <c r="I69" s="1" t="n">
        <f aca="false">IF(E69&gt;=0.995,3,IF(E69&gt;0,2,1))</f>
        <v>2</v>
      </c>
      <c r="J69" s="1" t="s">
        <v>259</v>
      </c>
    </row>
    <row r="70" customFormat="false" ht="41.25" hidden="false" customHeight="true" outlineLevel="0" collapsed="false">
      <c r="A70" s="1" t="s">
        <v>312</v>
      </c>
      <c r="B70" s="1" t="s">
        <v>313</v>
      </c>
      <c r="C70" s="1" t="s">
        <v>314</v>
      </c>
      <c r="D70" s="1" t="n">
        <v>3</v>
      </c>
      <c r="E70" s="7" t="n">
        <v>0.9</v>
      </c>
      <c r="F70" s="1" t="str">
        <f aca="false">IF(E70&gt;=0.995,"Completado",IF(E70&gt;0,"En curso","Pendiente"))</f>
        <v>En curso</v>
      </c>
      <c r="G70" s="8" t="s">
        <v>315</v>
      </c>
      <c r="H70" s="4" t="s">
        <v>71</v>
      </c>
      <c r="I70" s="1" t="n">
        <f aca="false">IF(E70&gt;=0.995,3,IF(E70&gt;0,2,1))</f>
        <v>2</v>
      </c>
      <c r="J70" s="1" t="s">
        <v>259</v>
      </c>
    </row>
    <row r="71" customFormat="false" ht="27.75" hidden="false" customHeight="true" outlineLevel="0" collapsed="false">
      <c r="A71" s="1" t="s">
        <v>316</v>
      </c>
      <c r="B71" s="1" t="s">
        <v>317</v>
      </c>
      <c r="C71" s="1" t="s">
        <v>318</v>
      </c>
      <c r="D71" s="1" t="n">
        <v>3</v>
      </c>
      <c r="E71" s="7" t="n">
        <v>0.25</v>
      </c>
      <c r="F71" s="1" t="str">
        <f aca="false">IF(E71&gt;=0.995,"Completado",IF(E71&gt;0,"En curso","Pendiente"))</f>
        <v>En curso</v>
      </c>
      <c r="G71" s="8" t="s">
        <v>319</v>
      </c>
      <c r="H71" s="4" t="s">
        <v>71</v>
      </c>
      <c r="I71" s="1" t="n">
        <f aca="false">IF(E71&gt;=0.995,3,IF(E71&gt;0,2,1))</f>
        <v>2</v>
      </c>
      <c r="J71" s="1" t="s">
        <v>259</v>
      </c>
    </row>
    <row r="72" customFormat="false" ht="15" hidden="false" customHeight="true" outlineLevel="0" collapsed="false">
      <c r="A72" s="1" t="s">
        <v>320</v>
      </c>
      <c r="B72" s="1" t="s">
        <v>321</v>
      </c>
      <c r="C72" s="1" t="s">
        <v>322</v>
      </c>
      <c r="D72" s="1" t="n">
        <v>3</v>
      </c>
      <c r="E72" s="7" t="n">
        <v>0</v>
      </c>
      <c r="F72" s="1" t="str">
        <f aca="false">IF(E72&gt;=0.995,"Completado",IF(E72&gt;0,"En curso","Pendiente"))</f>
        <v>Pendiente</v>
      </c>
      <c r="G72" s="8" t="s">
        <v>323</v>
      </c>
      <c r="H72" s="4" t="s">
        <v>71</v>
      </c>
      <c r="I72" s="1" t="n">
        <f aca="false">IF(E72&gt;=0.995,3,IF(E72&gt;0,2,1))</f>
        <v>1</v>
      </c>
      <c r="J72" s="1" t="s">
        <v>259</v>
      </c>
    </row>
    <row r="73" customFormat="false" ht="68.25" hidden="false" customHeight="true" outlineLevel="0" collapsed="false">
      <c r="A73" s="1" t="s">
        <v>324</v>
      </c>
      <c r="B73" s="1" t="s">
        <v>325</v>
      </c>
      <c r="C73" s="1" t="s">
        <v>326</v>
      </c>
      <c r="D73" s="1" t="n">
        <v>3</v>
      </c>
      <c r="E73" s="7" t="n">
        <v>0.75</v>
      </c>
      <c r="F73" s="1" t="str">
        <f aca="false">IF(E73&gt;=0.995,"Completado",IF(E73&gt;0,"En curso","Pendiente"))</f>
        <v>En curso</v>
      </c>
      <c r="G73" s="8" t="s">
        <v>327</v>
      </c>
      <c r="H73" s="4" t="s">
        <v>71</v>
      </c>
      <c r="I73" s="1" t="n">
        <f aca="false">IF(E73&gt;=0.995,3,IF(E73&gt;0,2,1))</f>
        <v>2</v>
      </c>
      <c r="J73" s="1" t="s">
        <v>259</v>
      </c>
    </row>
    <row r="74" customFormat="false" ht="15" hidden="false" customHeight="true" outlineLevel="0" collapsed="false">
      <c r="A74" s="1" t="s">
        <v>328</v>
      </c>
      <c r="B74" s="1" t="s">
        <v>329</v>
      </c>
      <c r="C74" s="1" t="s">
        <v>330</v>
      </c>
      <c r="D74" s="1" t="n">
        <v>3</v>
      </c>
      <c r="E74" s="7" t="n">
        <v>0.15</v>
      </c>
      <c r="F74" s="1" t="str">
        <f aca="false">IF(E74&gt;=0.995,"Completado",IF(E74&gt;0,"En curso","Pendiente"))</f>
        <v>En curso</v>
      </c>
      <c r="G74" s="8" t="s">
        <v>331</v>
      </c>
      <c r="H74" s="4" t="s">
        <v>66</v>
      </c>
      <c r="I74" s="1" t="n">
        <f aca="false">IF(E74&gt;=0.995,3,IF(E74&gt;0,2,1))</f>
        <v>2</v>
      </c>
      <c r="J74" s="1" t="s">
        <v>259</v>
      </c>
    </row>
    <row r="75" customFormat="false" ht="15" hidden="false" customHeight="true" outlineLevel="0" collapsed="false">
      <c r="A75" s="1" t="s">
        <v>332</v>
      </c>
      <c r="B75" s="1" t="s">
        <v>333</v>
      </c>
      <c r="C75" s="1" t="s">
        <v>334</v>
      </c>
      <c r="D75" s="1" t="n">
        <v>3</v>
      </c>
      <c r="E75" s="7" t="n">
        <v>0</v>
      </c>
      <c r="F75" s="1" t="str">
        <f aca="false">IF(E75&gt;=0.995,"Completado",IF(E75&gt;0,"En curso","Pendiente"))</f>
        <v>Pendiente</v>
      </c>
      <c r="G75" s="8" t="s">
        <v>335</v>
      </c>
      <c r="H75" s="4" t="s">
        <v>71</v>
      </c>
      <c r="I75" s="1" t="n">
        <f aca="false">IF(E75&gt;=0.995,3,IF(E75&gt;0,2,1))</f>
        <v>1</v>
      </c>
      <c r="J75" s="1" t="s">
        <v>259</v>
      </c>
    </row>
    <row r="76" customFormat="false" ht="41.25" hidden="false" customHeight="true" outlineLevel="0" collapsed="false">
      <c r="A76" s="1" t="s">
        <v>336</v>
      </c>
      <c r="B76" s="1" t="s">
        <v>337</v>
      </c>
      <c r="C76" s="1" t="s">
        <v>338</v>
      </c>
      <c r="D76" s="1" t="n">
        <v>3</v>
      </c>
      <c r="E76" s="7" t="n">
        <v>0.9</v>
      </c>
      <c r="F76" s="1" t="str">
        <f aca="false">IF(E76&gt;=0.995,"Completado",IF(E76&gt;0,"En curso","Pendiente"))</f>
        <v>En curso</v>
      </c>
      <c r="G76" s="8" t="s">
        <v>339</v>
      </c>
      <c r="H76" s="4" t="s">
        <v>71</v>
      </c>
      <c r="I76" s="1" t="n">
        <f aca="false">IF(E76&gt;=0.995,3,IF(E76&gt;0,2,1))</f>
        <v>2</v>
      </c>
      <c r="J76" s="1" t="s">
        <v>259</v>
      </c>
    </row>
    <row r="77" customFormat="false" ht="41.25" hidden="false" customHeight="true" outlineLevel="0" collapsed="false">
      <c r="A77" s="1" t="s">
        <v>340</v>
      </c>
      <c r="B77" s="1" t="s">
        <v>341</v>
      </c>
      <c r="C77" s="1" t="s">
        <v>342</v>
      </c>
      <c r="D77" s="1" t="n">
        <v>3</v>
      </c>
      <c r="E77" s="7" t="n">
        <v>0.8</v>
      </c>
      <c r="F77" s="1" t="str">
        <f aca="false">IF(E77&gt;=0.995,"Completado",IF(E77&gt;0,"En curso","Pendiente"))</f>
        <v>En curso</v>
      </c>
      <c r="G77" s="8" t="s">
        <v>343</v>
      </c>
      <c r="H77" s="4" t="s">
        <v>71</v>
      </c>
      <c r="I77" s="1" t="n">
        <f aca="false">IF(E77&gt;=0.995,3,IF(E77&gt;0,2,1))</f>
        <v>2</v>
      </c>
      <c r="J77" s="1" t="s">
        <v>259</v>
      </c>
    </row>
    <row r="78" customFormat="false" ht="15" hidden="false" customHeight="true" outlineLevel="0" collapsed="false">
      <c r="A78" s="2" t="s">
        <v>344</v>
      </c>
      <c r="B78" s="2" t="s">
        <v>345</v>
      </c>
      <c r="C78" s="2" t="s">
        <v>346</v>
      </c>
      <c r="D78" s="2" t="n">
        <v>2</v>
      </c>
      <c r="E78" s="5" t="n">
        <f aca="false">SUMPRODUCT((D79:D85=3)*E79:E85)/COUNTIF(D79:D85,3)</f>
        <v>0.407142857142857</v>
      </c>
      <c r="F78" s="2" t="str">
        <f aca="false">IF(E78&gt;=0.995,"Completado",IF(E78&gt;0,"En curso","Pendiente"))</f>
        <v>En curso</v>
      </c>
      <c r="G78" s="6"/>
      <c r="H78" s="2"/>
      <c r="I78" s="1" t="n">
        <f aca="false">IF(E78&gt;=0.995,3,IF(E78&gt;0,2,1))</f>
        <v>2</v>
      </c>
      <c r="J78" s="1" t="s">
        <v>259</v>
      </c>
    </row>
    <row r="79" customFormat="false" ht="30" hidden="false" customHeight="true" outlineLevel="0" collapsed="false">
      <c r="A79" s="1" t="s">
        <v>347</v>
      </c>
      <c r="B79" s="1" t="s">
        <v>348</v>
      </c>
      <c r="C79" s="1" t="s">
        <v>349</v>
      </c>
      <c r="D79" s="1" t="n">
        <v>3</v>
      </c>
      <c r="E79" s="7" t="n">
        <v>0.6</v>
      </c>
      <c r="F79" s="1" t="str">
        <f aca="false">IF(E79&gt;=0.995,"Completado",IF(E79&gt;0,"En curso","Pendiente"))</f>
        <v>En curso</v>
      </c>
      <c r="G79" s="8" t="s">
        <v>350</v>
      </c>
      <c r="H79" s="4" t="s">
        <v>66</v>
      </c>
      <c r="I79" s="1" t="n">
        <f aca="false">IF(E79&gt;=0.995,3,IF(E79&gt;0,2,1))</f>
        <v>2</v>
      </c>
      <c r="J79" s="1" t="s">
        <v>259</v>
      </c>
    </row>
    <row r="80" customFormat="false" ht="15" hidden="false" customHeight="true" outlineLevel="0" collapsed="false">
      <c r="A80" s="1" t="s">
        <v>351</v>
      </c>
      <c r="B80" s="1" t="s">
        <v>352</v>
      </c>
      <c r="C80" s="1" t="s">
        <v>353</v>
      </c>
      <c r="D80" s="1" t="n">
        <v>3</v>
      </c>
      <c r="E80" s="7" t="n">
        <v>0</v>
      </c>
      <c r="F80" s="1" t="str">
        <f aca="false">IF(E80&gt;=0.995,"Completado",IF(E80&gt;0,"En curso","Pendiente"))</f>
        <v>Pendiente</v>
      </c>
      <c r="G80" s="8" t="s">
        <v>354</v>
      </c>
      <c r="H80" s="4" t="s">
        <v>190</v>
      </c>
      <c r="I80" s="1" t="n">
        <f aca="false">IF(E80&gt;=0.995,3,IF(E80&gt;0,2,1))</f>
        <v>1</v>
      </c>
      <c r="J80" s="1" t="s">
        <v>259</v>
      </c>
    </row>
    <row r="81" customFormat="false" ht="15" hidden="false" customHeight="true" outlineLevel="0" collapsed="false">
      <c r="A81" s="1" t="s">
        <v>355</v>
      </c>
      <c r="B81" s="1" t="s">
        <v>356</v>
      </c>
      <c r="C81" s="1" t="s">
        <v>357</v>
      </c>
      <c r="D81" s="1" t="n">
        <v>3</v>
      </c>
      <c r="E81" s="7" t="n">
        <v>0</v>
      </c>
      <c r="F81" s="1" t="str">
        <f aca="false">IF(E81&gt;=0.995,"Completado",IF(E81&gt;0,"En curso","Pendiente"))</f>
        <v>Pendiente</v>
      </c>
      <c r="G81" s="8" t="s">
        <v>358</v>
      </c>
      <c r="H81" s="4" t="s">
        <v>190</v>
      </c>
      <c r="I81" s="1" t="n">
        <f aca="false">IF(E81&gt;=0.995,3,IF(E81&gt;0,2,1))</f>
        <v>1</v>
      </c>
      <c r="J81" s="1" t="s">
        <v>259</v>
      </c>
    </row>
    <row r="82" customFormat="false" ht="15" hidden="false" customHeight="true" outlineLevel="0" collapsed="false">
      <c r="A82" s="1" t="s">
        <v>359</v>
      </c>
      <c r="B82" s="1" t="s">
        <v>360</v>
      </c>
      <c r="C82" s="1" t="s">
        <v>361</v>
      </c>
      <c r="D82" s="1" t="n">
        <v>3</v>
      </c>
      <c r="E82" s="7" t="n">
        <v>0.9</v>
      </c>
      <c r="F82" s="1" t="str">
        <f aca="false">IF(E82&gt;=0.995,"Completado",IF(E82&gt;0,"En curso","Pendiente"))</f>
        <v>En curso</v>
      </c>
      <c r="G82" s="8" t="s">
        <v>362</v>
      </c>
      <c r="H82" s="4" t="s">
        <v>66</v>
      </c>
      <c r="I82" s="1" t="n">
        <f aca="false">IF(E82&gt;=0.995,3,IF(E82&gt;0,2,1))</f>
        <v>2</v>
      </c>
      <c r="J82" s="1" t="s">
        <v>259</v>
      </c>
    </row>
    <row r="83" customFormat="false" ht="15" hidden="false" customHeight="true" outlineLevel="0" collapsed="false">
      <c r="A83" s="1" t="s">
        <v>363</v>
      </c>
      <c r="B83" s="1" t="s">
        <v>364</v>
      </c>
      <c r="C83" s="1" t="s">
        <v>365</v>
      </c>
      <c r="D83" s="1" t="n">
        <v>3</v>
      </c>
      <c r="E83" s="7" t="n">
        <v>0.6</v>
      </c>
      <c r="F83" s="1" t="str">
        <f aca="false">IF(E83&gt;=0.995,"Completado",IF(E83&gt;0,"En curso","Pendiente"))</f>
        <v>En curso</v>
      </c>
      <c r="G83" s="8" t="s">
        <v>366</v>
      </c>
      <c r="H83" s="4" t="s">
        <v>71</v>
      </c>
      <c r="I83" s="1" t="n">
        <f aca="false">IF(E83&gt;=0.995,3,IF(E83&gt;0,2,1))</f>
        <v>2</v>
      </c>
      <c r="J83" s="1" t="s">
        <v>259</v>
      </c>
    </row>
    <row r="84" customFormat="false" ht="27.75" hidden="false" customHeight="true" outlineLevel="0" collapsed="false">
      <c r="A84" s="1" t="s">
        <v>367</v>
      </c>
      <c r="B84" s="1" t="s">
        <v>368</v>
      </c>
      <c r="C84" s="1" t="s">
        <v>369</v>
      </c>
      <c r="D84" s="1" t="n">
        <v>3</v>
      </c>
      <c r="E84" s="7" t="n">
        <v>0.5</v>
      </c>
      <c r="F84" s="1" t="str">
        <f aca="false">IF(E84&gt;=0.995,"Completado",IF(E84&gt;0,"En curso","Pendiente"))</f>
        <v>En curso</v>
      </c>
      <c r="G84" s="8" t="s">
        <v>370</v>
      </c>
      <c r="H84" s="4" t="s">
        <v>66</v>
      </c>
      <c r="I84" s="1" t="n">
        <f aca="false">IF(E84&gt;=0.995,3,IF(E84&gt;0,2,1))</f>
        <v>2</v>
      </c>
      <c r="J84" s="1" t="s">
        <v>259</v>
      </c>
    </row>
    <row r="85" customFormat="false" ht="15" hidden="false" customHeight="true" outlineLevel="0" collapsed="false">
      <c r="A85" s="1" t="s">
        <v>371</v>
      </c>
      <c r="B85" s="1" t="s">
        <v>372</v>
      </c>
      <c r="C85" s="1" t="s">
        <v>373</v>
      </c>
      <c r="D85" s="1" t="n">
        <v>3</v>
      </c>
      <c r="E85" s="7" t="n">
        <v>0.25</v>
      </c>
      <c r="F85" s="1" t="str">
        <f aca="false">IF(E85&gt;=0.995,"Completado",IF(E85&gt;0,"En curso","Pendiente"))</f>
        <v>En curso</v>
      </c>
      <c r="G85" s="8" t="s">
        <v>374</v>
      </c>
      <c r="H85" s="4" t="s">
        <v>71</v>
      </c>
      <c r="I85" s="1" t="n">
        <f aca="false">IF(E85&gt;=0.995,3,IF(E85&gt;0,2,1))</f>
        <v>2</v>
      </c>
      <c r="J85" s="1" t="s">
        <v>259</v>
      </c>
    </row>
    <row r="86" customFormat="false" ht="15" hidden="false" customHeight="true" outlineLevel="0" collapsed="false">
      <c r="A86" s="2" t="s">
        <v>375</v>
      </c>
      <c r="B86" s="2" t="s">
        <v>376</v>
      </c>
      <c r="C86" s="2" t="s">
        <v>377</v>
      </c>
      <c r="D86" s="2" t="n">
        <v>1</v>
      </c>
      <c r="E86" s="5" t="n">
        <f aca="false">SUMPRODUCT((D87:D99=3)*E87:E99)/COUNTIF(D87:D99,3)</f>
        <v>0.331818181818182</v>
      </c>
      <c r="F86" s="2" t="str">
        <f aca="false">IF(E86&gt;=0.995,"Completado",IF(E86&gt;0,"En curso","Pendiente"))</f>
        <v>En curso</v>
      </c>
      <c r="G86" s="6"/>
      <c r="H86" s="2"/>
      <c r="I86" s="1" t="n">
        <f aca="false">IF(E86&gt;=0.995,3,IF(E86&gt;0,2,1))</f>
        <v>2</v>
      </c>
      <c r="J86" s="1" t="s">
        <v>259</v>
      </c>
    </row>
    <row r="87" customFormat="false" ht="15" hidden="false" customHeight="true" outlineLevel="0" collapsed="false">
      <c r="A87" s="2" t="s">
        <v>378</v>
      </c>
      <c r="B87" s="2" t="s">
        <v>379</v>
      </c>
      <c r="C87" s="2" t="s">
        <v>380</v>
      </c>
      <c r="D87" s="2" t="n">
        <v>2</v>
      </c>
      <c r="E87" s="5" t="n">
        <f aca="false">SUMPRODUCT((D88:D94=3)*E88:E94)/COUNTIF(D88:D94,3)</f>
        <v>0.364285714285714</v>
      </c>
      <c r="F87" s="2" t="str">
        <f aca="false">IF(E87&gt;=0.995,"Completado",IF(E87&gt;0,"En curso","Pendiente"))</f>
        <v>En curso</v>
      </c>
      <c r="G87" s="6"/>
      <c r="H87" s="2"/>
      <c r="I87" s="1" t="n">
        <f aca="false">IF(E87&gt;=0.995,3,IF(E87&gt;0,2,1))</f>
        <v>2</v>
      </c>
      <c r="J87" s="1" t="s">
        <v>259</v>
      </c>
    </row>
    <row r="88" customFormat="false" ht="30" hidden="false" customHeight="true" outlineLevel="0" collapsed="false">
      <c r="A88" s="1" t="s">
        <v>381</v>
      </c>
      <c r="B88" s="1" t="s">
        <v>382</v>
      </c>
      <c r="C88" s="1" t="s">
        <v>383</v>
      </c>
      <c r="D88" s="1" t="n">
        <v>3</v>
      </c>
      <c r="E88" s="7" t="n">
        <v>0.45</v>
      </c>
      <c r="F88" s="1" t="str">
        <f aca="false">IF(E88&gt;=0.995,"Completado",IF(E88&gt;0,"En curso","Pendiente"))</f>
        <v>En curso</v>
      </c>
      <c r="G88" s="8" t="s">
        <v>384</v>
      </c>
      <c r="H88" s="4" t="s">
        <v>71</v>
      </c>
      <c r="I88" s="1" t="n">
        <f aca="false">IF(E88&gt;=0.995,3,IF(E88&gt;0,2,1))</f>
        <v>2</v>
      </c>
      <c r="J88" s="1" t="s">
        <v>259</v>
      </c>
    </row>
    <row r="89" customFormat="false" ht="15" hidden="false" customHeight="true" outlineLevel="0" collapsed="false">
      <c r="A89" s="1" t="s">
        <v>385</v>
      </c>
      <c r="B89" s="1" t="s">
        <v>386</v>
      </c>
      <c r="C89" s="1" t="s">
        <v>387</v>
      </c>
      <c r="D89" s="1" t="n">
        <v>3</v>
      </c>
      <c r="E89" s="7" t="n">
        <v>0.65</v>
      </c>
      <c r="F89" s="1" t="str">
        <f aca="false">IF(E89&gt;=0.995,"Completado",IF(E89&gt;0,"En curso","Pendiente"))</f>
        <v>En curso</v>
      </c>
      <c r="G89" s="8" t="s">
        <v>388</v>
      </c>
      <c r="H89" s="4" t="s">
        <v>66</v>
      </c>
      <c r="I89" s="1" t="n">
        <f aca="false">IF(E89&gt;=0.995,3,IF(E89&gt;0,2,1))</f>
        <v>2</v>
      </c>
      <c r="J89" s="1" t="s">
        <v>259</v>
      </c>
    </row>
    <row r="90" customFormat="false" ht="27.75" hidden="false" customHeight="true" outlineLevel="0" collapsed="false">
      <c r="A90" s="1" t="s">
        <v>389</v>
      </c>
      <c r="B90" s="1" t="s">
        <v>390</v>
      </c>
      <c r="C90" s="1" t="s">
        <v>391</v>
      </c>
      <c r="D90" s="1" t="n">
        <v>3</v>
      </c>
      <c r="E90" s="7" t="n">
        <v>0.65</v>
      </c>
      <c r="F90" s="1" t="str">
        <f aca="false">IF(E90&gt;=0.995,"Completado",IF(E90&gt;0,"En curso","Pendiente"))</f>
        <v>En curso</v>
      </c>
      <c r="G90" s="8" t="s">
        <v>392</v>
      </c>
      <c r="H90" s="4" t="s">
        <v>71</v>
      </c>
      <c r="I90" s="1" t="n">
        <f aca="false">IF(E90&gt;=0.995,3,IF(E90&gt;0,2,1))</f>
        <v>2</v>
      </c>
      <c r="J90" s="1" t="s">
        <v>259</v>
      </c>
    </row>
    <row r="91" customFormat="false" ht="15" hidden="false" customHeight="true" outlineLevel="0" collapsed="false">
      <c r="A91" s="1" t="s">
        <v>393</v>
      </c>
      <c r="B91" s="1" t="s">
        <v>394</v>
      </c>
      <c r="C91" s="1" t="s">
        <v>395</v>
      </c>
      <c r="D91" s="1" t="n">
        <v>3</v>
      </c>
      <c r="E91" s="7" t="n">
        <v>0</v>
      </c>
      <c r="F91" s="1" t="str">
        <f aca="false">IF(E91&gt;=0.995,"Completado",IF(E91&gt;0,"En curso","Pendiente"))</f>
        <v>Pendiente</v>
      </c>
      <c r="G91" s="8" t="s">
        <v>396</v>
      </c>
      <c r="H91" s="4" t="s">
        <v>71</v>
      </c>
      <c r="I91" s="1" t="n">
        <f aca="false">IF(E91&gt;=0.995,3,IF(E91&gt;0,2,1))</f>
        <v>1</v>
      </c>
      <c r="J91" s="1" t="s">
        <v>259</v>
      </c>
    </row>
    <row r="92" customFormat="false" ht="15" hidden="false" customHeight="true" outlineLevel="0" collapsed="false">
      <c r="A92" s="1" t="s">
        <v>397</v>
      </c>
      <c r="B92" s="1" t="s">
        <v>398</v>
      </c>
      <c r="C92" s="1" t="s">
        <v>399</v>
      </c>
      <c r="D92" s="1" t="n">
        <v>3</v>
      </c>
      <c r="E92" s="7" t="n">
        <v>0.35</v>
      </c>
      <c r="F92" s="1" t="str">
        <f aca="false">IF(E92&gt;=0.995,"Completado",IF(E92&gt;0,"En curso","Pendiente"))</f>
        <v>En curso</v>
      </c>
      <c r="G92" s="8" t="s">
        <v>400</v>
      </c>
      <c r="H92" s="4" t="s">
        <v>71</v>
      </c>
      <c r="I92" s="1" t="n">
        <f aca="false">IF(E92&gt;=0.995,3,IF(E92&gt;0,2,1))</f>
        <v>2</v>
      </c>
      <c r="J92" s="1" t="s">
        <v>259</v>
      </c>
    </row>
    <row r="93" customFormat="false" ht="15" hidden="false" customHeight="true" outlineLevel="0" collapsed="false">
      <c r="A93" s="1" t="s">
        <v>401</v>
      </c>
      <c r="B93" s="1" t="s">
        <v>402</v>
      </c>
      <c r="C93" s="1" t="s">
        <v>403</v>
      </c>
      <c r="D93" s="1" t="n">
        <v>3</v>
      </c>
      <c r="E93" s="7" t="n">
        <v>0.45</v>
      </c>
      <c r="F93" s="1" t="str">
        <f aca="false">IF(E93&gt;=0.995,"Completado",IF(E93&gt;0,"En curso","Pendiente"))</f>
        <v>En curso</v>
      </c>
      <c r="G93" s="8" t="s">
        <v>404</v>
      </c>
      <c r="H93" s="4" t="s">
        <v>71</v>
      </c>
      <c r="I93" s="1" t="n">
        <f aca="false">IF(E93&gt;=0.995,3,IF(E93&gt;0,2,1))</f>
        <v>2</v>
      </c>
      <c r="J93" s="1" t="s">
        <v>259</v>
      </c>
    </row>
    <row r="94" customFormat="false" ht="15" hidden="false" customHeight="true" outlineLevel="0" collapsed="false">
      <c r="A94" s="1" t="s">
        <v>405</v>
      </c>
      <c r="B94" s="1" t="s">
        <v>406</v>
      </c>
      <c r="C94" s="1" t="s">
        <v>407</v>
      </c>
      <c r="D94" s="1" t="n">
        <v>3</v>
      </c>
      <c r="E94" s="7" t="n">
        <v>0</v>
      </c>
      <c r="F94" s="1" t="str">
        <f aca="false">IF(E94&gt;=0.995,"Completado",IF(E94&gt;0,"En curso","Pendiente"))</f>
        <v>Pendiente</v>
      </c>
      <c r="G94" s="8" t="s">
        <v>408</v>
      </c>
      <c r="H94" s="4" t="s">
        <v>71</v>
      </c>
      <c r="I94" s="1" t="n">
        <f aca="false">IF(E94&gt;=0.995,3,IF(E94&gt;0,2,1))</f>
        <v>1</v>
      </c>
      <c r="J94" s="1" t="s">
        <v>259</v>
      </c>
    </row>
    <row r="95" customFormat="false" ht="15" hidden="false" customHeight="true" outlineLevel="0" collapsed="false">
      <c r="A95" s="2" t="s">
        <v>409</v>
      </c>
      <c r="B95" s="2" t="s">
        <v>410</v>
      </c>
      <c r="C95" s="2" t="s">
        <v>411</v>
      </c>
      <c r="D95" s="2" t="n">
        <v>2</v>
      </c>
      <c r="E95" s="5" t="n">
        <f aca="false">SUMPRODUCT((D96:D99=3)*E96:E99)/COUNTIF(D96:D99,3)</f>
        <v>0.275</v>
      </c>
      <c r="F95" s="2" t="str">
        <f aca="false">IF(E95&gt;=0.995,"Completado",IF(E95&gt;0,"En curso","Pendiente"))</f>
        <v>En curso</v>
      </c>
      <c r="G95" s="6"/>
      <c r="H95" s="2"/>
      <c r="I95" s="1" t="n">
        <f aca="false">IF(E95&gt;=0.995,3,IF(E95&gt;0,2,1))</f>
        <v>2</v>
      </c>
      <c r="J95" s="1" t="s">
        <v>259</v>
      </c>
    </row>
    <row r="96" customFormat="false" ht="27.75" hidden="false" customHeight="true" outlineLevel="0" collapsed="false">
      <c r="A96" s="1" t="s">
        <v>412</v>
      </c>
      <c r="B96" s="1" t="s">
        <v>413</v>
      </c>
      <c r="C96" s="1" t="s">
        <v>414</v>
      </c>
      <c r="D96" s="1" t="n">
        <v>3</v>
      </c>
      <c r="E96" s="7" t="n">
        <v>0.6</v>
      </c>
      <c r="F96" s="1" t="str">
        <f aca="false">IF(E96&gt;=0.995,"Completado",IF(E96&gt;0,"En curso","Pendiente"))</f>
        <v>En curso</v>
      </c>
      <c r="G96" s="8" t="s">
        <v>415</v>
      </c>
      <c r="H96" s="4" t="s">
        <v>71</v>
      </c>
      <c r="I96" s="1" t="n">
        <f aca="false">IF(E96&gt;=0.995,3,IF(E96&gt;0,2,1))</f>
        <v>2</v>
      </c>
      <c r="J96" s="1" t="s">
        <v>259</v>
      </c>
    </row>
    <row r="97" customFormat="false" ht="30" hidden="false" customHeight="true" outlineLevel="0" collapsed="false">
      <c r="A97" s="1" t="s">
        <v>416</v>
      </c>
      <c r="B97" s="1" t="s">
        <v>417</v>
      </c>
      <c r="C97" s="1" t="s">
        <v>418</v>
      </c>
      <c r="D97" s="1" t="n">
        <v>3</v>
      </c>
      <c r="E97" s="7" t="n">
        <v>0.5</v>
      </c>
      <c r="F97" s="1" t="str">
        <f aca="false">IF(E97&gt;=0.995,"Completado",IF(E97&gt;0,"En curso","Pendiente"))</f>
        <v>En curso</v>
      </c>
      <c r="G97" s="8" t="s">
        <v>419</v>
      </c>
      <c r="H97" s="4" t="s">
        <v>66</v>
      </c>
      <c r="I97" s="1" t="n">
        <f aca="false">IF(E97&gt;=0.995,3,IF(E97&gt;0,2,1))</f>
        <v>2</v>
      </c>
      <c r="J97" s="1" t="s">
        <v>259</v>
      </c>
    </row>
    <row r="98" customFormat="false" ht="15" hidden="false" customHeight="true" outlineLevel="0" collapsed="false">
      <c r="A98" s="1" t="s">
        <v>420</v>
      </c>
      <c r="B98" s="1" t="s">
        <v>421</v>
      </c>
      <c r="C98" s="1" t="s">
        <v>422</v>
      </c>
      <c r="D98" s="1" t="n">
        <v>3</v>
      </c>
      <c r="E98" s="7" t="n">
        <v>0</v>
      </c>
      <c r="F98" s="1" t="str">
        <f aca="false">IF(E98&gt;=0.995,"Completado",IF(E98&gt;0,"En curso","Pendiente"))</f>
        <v>Pendiente</v>
      </c>
      <c r="G98" s="8" t="s">
        <v>358</v>
      </c>
      <c r="H98" s="4" t="s">
        <v>190</v>
      </c>
      <c r="I98" s="1" t="n">
        <f aca="false">IF(E98&gt;=0.995,3,IF(E98&gt;0,2,1))</f>
        <v>1</v>
      </c>
      <c r="J98" s="1" t="s">
        <v>259</v>
      </c>
    </row>
    <row r="99" customFormat="false" ht="30" hidden="false" customHeight="true" outlineLevel="0" collapsed="false">
      <c r="A99" s="1" t="s">
        <v>423</v>
      </c>
      <c r="B99" s="1" t="s">
        <v>424</v>
      </c>
      <c r="C99" s="1" t="s">
        <v>425</v>
      </c>
      <c r="D99" s="1" t="n">
        <v>3</v>
      </c>
      <c r="E99" s="7" t="n">
        <v>0</v>
      </c>
      <c r="F99" s="1" t="str">
        <f aca="false">IF(E99&gt;=0.995,"Completado",IF(E99&gt;0,"En curso","Pendiente"))</f>
        <v>Pendiente</v>
      </c>
      <c r="G99" s="8" t="s">
        <v>358</v>
      </c>
      <c r="H99" s="4" t="s">
        <v>190</v>
      </c>
      <c r="I99" s="1" t="n">
        <f aca="false">IF(E99&gt;=0.995,3,IF(E99&gt;0,2,1))</f>
        <v>1</v>
      </c>
      <c r="J99" s="1" t="s">
        <v>259</v>
      </c>
    </row>
    <row r="100" customFormat="false" ht="15" hidden="false" customHeight="true" outlineLevel="0" collapsed="false">
      <c r="A100" s="2" t="s">
        <v>426</v>
      </c>
      <c r="B100" s="2" t="s">
        <v>427</v>
      </c>
      <c r="C100" s="2" t="s">
        <v>428</v>
      </c>
      <c r="D100" s="2" t="n">
        <v>1</v>
      </c>
      <c r="E100" s="5" t="n">
        <f aca="false">SUMPRODUCT((D101:D108=3)*E101:E108)/COUNTIF(D101:D108,3)</f>
        <v>0.3</v>
      </c>
      <c r="F100" s="2" t="str">
        <f aca="false">IF(E100&gt;=0.995,"Completado",IF(E100&gt;0,"En curso","Pendiente"))</f>
        <v>En curso</v>
      </c>
      <c r="G100" s="6"/>
      <c r="H100" s="2"/>
      <c r="I100" s="1" t="n">
        <f aca="false">IF(E100&gt;=0.995,3,IF(E100&gt;0,2,1))</f>
        <v>2</v>
      </c>
      <c r="J100" s="1" t="s">
        <v>259</v>
      </c>
    </row>
    <row r="101" customFormat="false" ht="15" hidden="false" customHeight="true" outlineLevel="0" collapsed="false">
      <c r="A101" s="2" t="s">
        <v>429</v>
      </c>
      <c r="B101" s="2" t="s">
        <v>430</v>
      </c>
      <c r="C101" s="2" t="s">
        <v>431</v>
      </c>
      <c r="D101" s="2" t="n">
        <v>2</v>
      </c>
      <c r="E101" s="5" t="n">
        <f aca="false">SUMPRODUCT((D102:D104=3)*E102:E104)/COUNTIF(D102:D104,3)</f>
        <v>0.2</v>
      </c>
      <c r="F101" s="2" t="str">
        <f aca="false">IF(E101&gt;=0.995,"Completado",IF(E101&gt;0,"En curso","Pendiente"))</f>
        <v>En curso</v>
      </c>
      <c r="G101" s="6"/>
      <c r="H101" s="2"/>
      <c r="I101" s="1" t="n">
        <f aca="false">IF(E101&gt;=0.995,3,IF(E101&gt;0,2,1))</f>
        <v>2</v>
      </c>
      <c r="J101" s="1" t="s">
        <v>259</v>
      </c>
    </row>
    <row r="102" customFormat="false" ht="15" hidden="false" customHeight="true" outlineLevel="0" collapsed="false">
      <c r="A102" s="1" t="s">
        <v>432</v>
      </c>
      <c r="B102" s="1" t="s">
        <v>433</v>
      </c>
      <c r="C102" s="1" t="s">
        <v>434</v>
      </c>
      <c r="D102" s="1" t="n">
        <v>3</v>
      </c>
      <c r="E102" s="7" t="n">
        <v>0</v>
      </c>
      <c r="F102" s="1" t="str">
        <f aca="false">IF(E102&gt;=0.995,"Completado",IF(E102&gt;0,"En curso","Pendiente"))</f>
        <v>Pendiente</v>
      </c>
      <c r="G102" s="8" t="s">
        <v>435</v>
      </c>
      <c r="H102" s="4" t="s">
        <v>190</v>
      </c>
      <c r="I102" s="1" t="n">
        <f aca="false">IF(E102&gt;=0.995,3,IF(E102&gt;0,2,1))</f>
        <v>1</v>
      </c>
      <c r="J102" s="1" t="s">
        <v>259</v>
      </c>
    </row>
    <row r="103" customFormat="false" ht="15" hidden="false" customHeight="true" outlineLevel="0" collapsed="false">
      <c r="A103" s="1" t="s">
        <v>436</v>
      </c>
      <c r="B103" s="1" t="s">
        <v>437</v>
      </c>
      <c r="C103" s="1" t="s">
        <v>438</v>
      </c>
      <c r="D103" s="1" t="n">
        <v>3</v>
      </c>
      <c r="E103" s="7" t="n">
        <v>0.6</v>
      </c>
      <c r="F103" s="1" t="str">
        <f aca="false">IF(E103&gt;=0.995,"Completado",IF(E103&gt;0,"En curso","Pendiente"))</f>
        <v>En curso</v>
      </c>
      <c r="G103" s="8" t="s">
        <v>439</v>
      </c>
      <c r="H103" s="4" t="s">
        <v>71</v>
      </c>
      <c r="I103" s="1" t="n">
        <f aca="false">IF(E103&gt;=0.995,3,IF(E103&gt;0,2,1))</f>
        <v>2</v>
      </c>
      <c r="J103" s="1" t="s">
        <v>259</v>
      </c>
    </row>
    <row r="104" customFormat="false" ht="30" hidden="false" customHeight="true" outlineLevel="0" collapsed="false">
      <c r="A104" s="1" t="s">
        <v>440</v>
      </c>
      <c r="B104" s="1" t="s">
        <v>441</v>
      </c>
      <c r="C104" s="1" t="s">
        <v>442</v>
      </c>
      <c r="D104" s="1" t="n">
        <v>3</v>
      </c>
      <c r="E104" s="7" t="n">
        <v>0</v>
      </c>
      <c r="F104" s="1" t="str">
        <f aca="false">IF(E104&gt;=0.995,"Completado",IF(E104&gt;0,"En curso","Pendiente"))</f>
        <v>Pendiente</v>
      </c>
      <c r="G104" s="8" t="s">
        <v>443</v>
      </c>
      <c r="H104" s="4" t="s">
        <v>71</v>
      </c>
      <c r="I104" s="1" t="n">
        <f aca="false">IF(E104&gt;=0.995,3,IF(E104&gt;0,2,1))</f>
        <v>1</v>
      </c>
      <c r="J104" s="1" t="s">
        <v>259</v>
      </c>
    </row>
    <row r="105" customFormat="false" ht="15" hidden="false" customHeight="true" outlineLevel="0" collapsed="false">
      <c r="A105" s="2" t="s">
        <v>444</v>
      </c>
      <c r="B105" s="2" t="s">
        <v>445</v>
      </c>
      <c r="C105" s="2" t="s">
        <v>446</v>
      </c>
      <c r="D105" s="2" t="n">
        <v>2</v>
      </c>
      <c r="E105" s="5" t="n">
        <f aca="false">SUMPRODUCT((D106:D108=3)*E106:E108)/COUNTIF(D106:D108,3)</f>
        <v>0.4</v>
      </c>
      <c r="F105" s="2" t="str">
        <f aca="false">IF(E105&gt;=0.995,"Completado",IF(E105&gt;0,"En curso","Pendiente"))</f>
        <v>En curso</v>
      </c>
      <c r="G105" s="6"/>
      <c r="H105" s="2"/>
      <c r="I105" s="1" t="n">
        <f aca="false">IF(E105&gt;=0.995,3,IF(E105&gt;0,2,1))</f>
        <v>2</v>
      </c>
      <c r="J105" s="1" t="s">
        <v>259</v>
      </c>
    </row>
    <row r="106" customFormat="false" ht="15" hidden="false" customHeight="true" outlineLevel="0" collapsed="false">
      <c r="A106" s="1" t="s">
        <v>447</v>
      </c>
      <c r="B106" s="1" t="s">
        <v>448</v>
      </c>
      <c r="C106" s="1" t="s">
        <v>449</v>
      </c>
      <c r="D106" s="1" t="n">
        <v>3</v>
      </c>
      <c r="E106" s="7" t="n">
        <v>0.5</v>
      </c>
      <c r="F106" s="1" t="str">
        <f aca="false">IF(E106&gt;=0.995,"Completado",IF(E106&gt;0,"En curso","Pendiente"))</f>
        <v>En curso</v>
      </c>
      <c r="G106" s="8" t="s">
        <v>450</v>
      </c>
      <c r="H106" s="4" t="s">
        <v>66</v>
      </c>
      <c r="I106" s="1" t="n">
        <f aca="false">IF(E106&gt;=0.995,3,IF(E106&gt;0,2,1))</f>
        <v>2</v>
      </c>
      <c r="J106" s="1" t="s">
        <v>259</v>
      </c>
    </row>
    <row r="107" customFormat="false" ht="15" hidden="false" customHeight="true" outlineLevel="0" collapsed="false">
      <c r="A107" s="1" t="s">
        <v>451</v>
      </c>
      <c r="B107" s="1" t="s">
        <v>452</v>
      </c>
      <c r="C107" s="1" t="s">
        <v>453</v>
      </c>
      <c r="D107" s="1" t="n">
        <v>3</v>
      </c>
      <c r="E107" s="7" t="n">
        <v>0.2</v>
      </c>
      <c r="F107" s="1" t="str">
        <f aca="false">IF(E107&gt;=0.995,"Completado",IF(E107&gt;0,"En curso","Pendiente"))</f>
        <v>En curso</v>
      </c>
      <c r="G107" s="8" t="s">
        <v>454</v>
      </c>
      <c r="H107" s="4" t="s">
        <v>71</v>
      </c>
      <c r="I107" s="1" t="n">
        <f aca="false">IF(E107&gt;=0.995,3,IF(E107&gt;0,2,1))</f>
        <v>2</v>
      </c>
      <c r="J107" s="1" t="s">
        <v>259</v>
      </c>
    </row>
    <row r="108" customFormat="false" ht="15" hidden="false" customHeight="true" outlineLevel="0" collapsed="false">
      <c r="A108" s="1" t="s">
        <v>455</v>
      </c>
      <c r="B108" s="1" t="s">
        <v>456</v>
      </c>
      <c r="C108" s="1" t="s">
        <v>457</v>
      </c>
      <c r="D108" s="1" t="n">
        <v>3</v>
      </c>
      <c r="E108" s="7" t="n">
        <v>0.5</v>
      </c>
      <c r="F108" s="1" t="str">
        <f aca="false">IF(E108&gt;=0.995,"Completado",IF(E108&gt;0,"En curso","Pendiente"))</f>
        <v>En curso</v>
      </c>
      <c r="G108" s="8" t="s">
        <v>458</v>
      </c>
      <c r="H108" s="4" t="s">
        <v>66</v>
      </c>
      <c r="I108" s="1" t="n">
        <f aca="false">IF(E108&gt;=0.995,3,IF(E108&gt;0,2,1))</f>
        <v>2</v>
      </c>
      <c r="J108" s="1" t="s">
        <v>259</v>
      </c>
    </row>
    <row r="109" customFormat="false" ht="15" hidden="false" customHeight="true" outlineLevel="0" collapsed="false">
      <c r="A109" s="2" t="s">
        <v>459</v>
      </c>
      <c r="B109" s="2" t="s">
        <v>460</v>
      </c>
      <c r="C109" s="2" t="s">
        <v>461</v>
      </c>
      <c r="D109" s="2" t="n">
        <v>1</v>
      </c>
      <c r="E109" s="5" t="n">
        <f aca="false">SUMPRODUCT((D110:D117=3)*E110:E117)/COUNTIF(D110:D117,3)</f>
        <v>0.0333333333333333</v>
      </c>
      <c r="F109" s="2" t="str">
        <f aca="false">IF(E109&gt;=0.995,"Completado",IF(E109&gt;0,"En curso","Pendiente"))</f>
        <v>En curso</v>
      </c>
      <c r="G109" s="6"/>
      <c r="H109" s="2"/>
      <c r="I109" s="1" t="n">
        <f aca="false">IF(E109&gt;=0.995,3,IF(E109&gt;0,2,1))</f>
        <v>2</v>
      </c>
      <c r="J109" s="1" t="s">
        <v>259</v>
      </c>
    </row>
    <row r="110" customFormat="false" ht="15" hidden="false" customHeight="true" outlineLevel="0" collapsed="false">
      <c r="A110" s="2" t="s">
        <v>462</v>
      </c>
      <c r="B110" s="2" t="s">
        <v>463</v>
      </c>
      <c r="C110" s="2" t="s">
        <v>464</v>
      </c>
      <c r="D110" s="2" t="n">
        <v>2</v>
      </c>
      <c r="E110" s="5" t="n">
        <f aca="false">SUMPRODUCT((D111:D113=3)*E111:E113)/COUNTIF(D111:D113,3)</f>
        <v>0.0666666666666667</v>
      </c>
      <c r="F110" s="2" t="str">
        <f aca="false">IF(E110&gt;=0.995,"Completado",IF(E110&gt;0,"En curso","Pendiente"))</f>
        <v>En curso</v>
      </c>
      <c r="G110" s="6"/>
      <c r="H110" s="2"/>
      <c r="I110" s="1" t="n">
        <f aca="false">IF(E110&gt;=0.995,3,IF(E110&gt;0,2,1))</f>
        <v>2</v>
      </c>
      <c r="J110" s="1" t="s">
        <v>259</v>
      </c>
    </row>
    <row r="111" customFormat="false" ht="30" hidden="false" customHeight="true" outlineLevel="0" collapsed="false">
      <c r="A111" s="1" t="s">
        <v>465</v>
      </c>
      <c r="B111" s="1" t="s">
        <v>466</v>
      </c>
      <c r="C111" s="1" t="s">
        <v>467</v>
      </c>
      <c r="D111" s="1" t="n">
        <v>3</v>
      </c>
      <c r="E111" s="7" t="n">
        <v>0</v>
      </c>
      <c r="F111" s="1" t="str">
        <f aca="false">IF(E111&gt;=0.995,"Completado",IF(E111&gt;0,"En curso","Pendiente"))</f>
        <v>Pendiente</v>
      </c>
      <c r="G111" s="8" t="s">
        <v>468</v>
      </c>
      <c r="H111" s="4" t="s">
        <v>71</v>
      </c>
      <c r="I111" s="1" t="n">
        <f aca="false">IF(E111&gt;=0.995,3,IF(E111&gt;0,2,1))</f>
        <v>1</v>
      </c>
      <c r="J111" s="1" t="s">
        <v>259</v>
      </c>
    </row>
    <row r="112" customFormat="false" ht="15" hidden="false" customHeight="true" outlineLevel="0" collapsed="false">
      <c r="A112" s="1" t="s">
        <v>469</v>
      </c>
      <c r="B112" s="1" t="s">
        <v>470</v>
      </c>
      <c r="C112" s="1" t="s">
        <v>471</v>
      </c>
      <c r="D112" s="1" t="n">
        <v>3</v>
      </c>
      <c r="E112" s="7" t="n">
        <v>0.2</v>
      </c>
      <c r="F112" s="1" t="str">
        <f aca="false">IF(E112&gt;=0.995,"Completado",IF(E112&gt;0,"En curso","Pendiente"))</f>
        <v>En curso</v>
      </c>
      <c r="G112" s="8" t="s">
        <v>472</v>
      </c>
      <c r="H112" s="4" t="s">
        <v>66</v>
      </c>
      <c r="I112" s="1" t="n">
        <f aca="false">IF(E112&gt;=0.995,3,IF(E112&gt;0,2,1))</f>
        <v>2</v>
      </c>
      <c r="J112" s="1" t="s">
        <v>259</v>
      </c>
    </row>
    <row r="113" customFormat="false" ht="15" hidden="false" customHeight="true" outlineLevel="0" collapsed="false">
      <c r="A113" s="1" t="s">
        <v>473</v>
      </c>
      <c r="B113" s="1" t="s">
        <v>474</v>
      </c>
      <c r="C113" s="1" t="s">
        <v>475</v>
      </c>
      <c r="D113" s="1" t="n">
        <v>3</v>
      </c>
      <c r="E113" s="7" t="n">
        <v>0</v>
      </c>
      <c r="F113" s="1" t="str">
        <f aca="false">IF(E113&gt;=0.995,"Completado",IF(E113&gt;0,"En curso","Pendiente"))</f>
        <v>Pendiente</v>
      </c>
      <c r="G113" s="8" t="s">
        <v>468</v>
      </c>
      <c r="H113" s="4" t="s">
        <v>71</v>
      </c>
      <c r="I113" s="1" t="n">
        <f aca="false">IF(E113&gt;=0.995,3,IF(E113&gt;0,2,1))</f>
        <v>1</v>
      </c>
      <c r="J113" s="1" t="s">
        <v>259</v>
      </c>
    </row>
    <row r="114" customFormat="false" ht="15" hidden="false" customHeight="true" outlineLevel="0" collapsed="false">
      <c r="A114" s="2" t="s">
        <v>476</v>
      </c>
      <c r="B114" s="2" t="s">
        <v>477</v>
      </c>
      <c r="C114" s="2" t="s">
        <v>478</v>
      </c>
      <c r="D114" s="2" t="n">
        <v>2</v>
      </c>
      <c r="E114" s="5" t="n">
        <f aca="false">SUMPRODUCT((D115:D117=3)*E115:E117)/COUNTIF(D115:D117,3)</f>
        <v>0</v>
      </c>
      <c r="F114" s="2" t="str">
        <f aca="false">IF(E114&gt;=0.995,"Completado",IF(E114&gt;0,"En curso","Pendiente"))</f>
        <v>Pendiente</v>
      </c>
      <c r="G114" s="6"/>
      <c r="H114" s="2"/>
      <c r="I114" s="1" t="n">
        <f aca="false">IF(E114&gt;=0.995,3,IF(E114&gt;0,2,1))</f>
        <v>1</v>
      </c>
      <c r="J114" s="1" t="s">
        <v>259</v>
      </c>
    </row>
    <row r="115" customFormat="false" ht="15" hidden="false" customHeight="true" outlineLevel="0" collapsed="false">
      <c r="A115" s="1" t="s">
        <v>479</v>
      </c>
      <c r="B115" s="1" t="s">
        <v>480</v>
      </c>
      <c r="C115" s="1" t="s">
        <v>481</v>
      </c>
      <c r="D115" s="1" t="n">
        <v>3</v>
      </c>
      <c r="E115" s="7" t="n">
        <v>0</v>
      </c>
      <c r="F115" s="1" t="str">
        <f aca="false">IF(E115&gt;=0.995,"Completado",IF(E115&gt;0,"En curso","Pendiente"))</f>
        <v>Pendiente</v>
      </c>
      <c r="G115" s="8" t="s">
        <v>468</v>
      </c>
      <c r="H115" s="4" t="s">
        <v>71</v>
      </c>
      <c r="I115" s="1" t="n">
        <f aca="false">IF(E115&gt;=0.995,3,IF(E115&gt;0,2,1))</f>
        <v>1</v>
      </c>
      <c r="J115" s="1" t="s">
        <v>259</v>
      </c>
    </row>
    <row r="116" customFormat="false" ht="15" hidden="false" customHeight="true" outlineLevel="0" collapsed="false">
      <c r="A116" s="1" t="s">
        <v>482</v>
      </c>
      <c r="B116" s="1" t="s">
        <v>483</v>
      </c>
      <c r="C116" s="1" t="s">
        <v>484</v>
      </c>
      <c r="D116" s="1" t="n">
        <v>3</v>
      </c>
      <c r="E116" s="7" t="n">
        <v>0</v>
      </c>
      <c r="F116" s="1" t="str">
        <f aca="false">IF(E116&gt;=0.995,"Completado",IF(E116&gt;0,"En curso","Pendiente"))</f>
        <v>Pendiente</v>
      </c>
      <c r="G116" s="8" t="s">
        <v>468</v>
      </c>
      <c r="H116" s="4" t="s">
        <v>71</v>
      </c>
      <c r="I116" s="1" t="n">
        <f aca="false">IF(E116&gt;=0.995,3,IF(E116&gt;0,2,1))</f>
        <v>1</v>
      </c>
      <c r="J116" s="1" t="s">
        <v>259</v>
      </c>
    </row>
    <row r="117" customFormat="false" ht="15" hidden="false" customHeight="true" outlineLevel="0" collapsed="false">
      <c r="A117" s="1" t="s">
        <v>485</v>
      </c>
      <c r="B117" s="1" t="s">
        <v>486</v>
      </c>
      <c r="C117" s="1" t="s">
        <v>487</v>
      </c>
      <c r="D117" s="1" t="n">
        <v>3</v>
      </c>
      <c r="E117" s="7" t="n">
        <v>0</v>
      </c>
      <c r="F117" s="1" t="str">
        <f aca="false">IF(E117&gt;=0.995,"Completado",IF(E117&gt;0,"En curso","Pendiente"))</f>
        <v>Pendiente</v>
      </c>
      <c r="G117" s="8" t="s">
        <v>468</v>
      </c>
      <c r="H117" s="4" t="s">
        <v>71</v>
      </c>
      <c r="I117" s="1" t="n">
        <f aca="false">IF(E117&gt;=0.995,3,IF(E117&gt;0,2,1))</f>
        <v>1</v>
      </c>
      <c r="J117" s="1" t="s">
        <v>259</v>
      </c>
    </row>
    <row r="118" customFormat="false" ht="15" hidden="false" customHeight="true" outlineLevel="0" collapsed="false">
      <c r="A118" s="2" t="s">
        <v>488</v>
      </c>
      <c r="B118" s="2" t="s">
        <v>489</v>
      </c>
      <c r="C118" s="2" t="s">
        <v>490</v>
      </c>
      <c r="D118" s="2" t="n">
        <v>1</v>
      </c>
      <c r="E118" s="5" t="n">
        <f aca="false">SUMPRODUCT((D119:D124=3)*E119:E124)/COUNTIF(D119:D124,3)</f>
        <v>0</v>
      </c>
      <c r="F118" s="2" t="str">
        <f aca="false">IF(E118&gt;=0.995,"Completado",IF(E118&gt;0,"En curso","Pendiente"))</f>
        <v>Pendiente</v>
      </c>
      <c r="G118" s="6"/>
      <c r="H118" s="2"/>
      <c r="I118" s="1" t="n">
        <f aca="false">IF(E118&gt;=0.995,3,IF(E118&gt;0,2,1))</f>
        <v>1</v>
      </c>
      <c r="J118" s="1" t="s">
        <v>259</v>
      </c>
    </row>
    <row r="119" customFormat="false" ht="15" hidden="false" customHeight="true" outlineLevel="0" collapsed="false">
      <c r="A119" s="2" t="s">
        <v>491</v>
      </c>
      <c r="B119" s="2" t="s">
        <v>492</v>
      </c>
      <c r="C119" s="2" t="s">
        <v>493</v>
      </c>
      <c r="D119" s="2" t="n">
        <v>2</v>
      </c>
      <c r="E119" s="5" t="n">
        <f aca="false">SUMPRODUCT((D120:D121=3)*E120:E121)/COUNTIF(D120:D121,3)</f>
        <v>0</v>
      </c>
      <c r="F119" s="2" t="str">
        <f aca="false">IF(E119&gt;=0.995,"Completado",IF(E119&gt;0,"En curso","Pendiente"))</f>
        <v>Pendiente</v>
      </c>
      <c r="G119" s="6"/>
      <c r="H119" s="2"/>
      <c r="I119" s="1" t="n">
        <f aca="false">IF(E119&gt;=0.995,3,IF(E119&gt;0,2,1))</f>
        <v>1</v>
      </c>
      <c r="J119" s="1" t="s">
        <v>259</v>
      </c>
    </row>
    <row r="120" customFormat="false" ht="30" hidden="false" customHeight="true" outlineLevel="0" collapsed="false">
      <c r="A120" s="1" t="s">
        <v>494</v>
      </c>
      <c r="B120" s="1" t="s">
        <v>495</v>
      </c>
      <c r="C120" s="1" t="s">
        <v>496</v>
      </c>
      <c r="D120" s="1" t="n">
        <v>3</v>
      </c>
      <c r="E120" s="7" t="n">
        <v>0</v>
      </c>
      <c r="F120" s="1" t="str">
        <f aca="false">IF(E120&gt;=0.995,"Completado",IF(E120&gt;0,"En curso","Pendiente"))</f>
        <v>Pendiente</v>
      </c>
      <c r="G120" s="8" t="s">
        <v>497</v>
      </c>
      <c r="H120" s="4" t="s">
        <v>71</v>
      </c>
      <c r="I120" s="1" t="n">
        <f aca="false">IF(E120&gt;=0.995,3,IF(E120&gt;0,2,1))</f>
        <v>1</v>
      </c>
      <c r="J120" s="1" t="s">
        <v>259</v>
      </c>
    </row>
    <row r="121" customFormat="false" ht="15" hidden="false" customHeight="true" outlineLevel="0" collapsed="false">
      <c r="A121" s="1" t="s">
        <v>498</v>
      </c>
      <c r="B121" s="1" t="s">
        <v>499</v>
      </c>
      <c r="C121" s="1" t="s">
        <v>500</v>
      </c>
      <c r="D121" s="1" t="n">
        <v>3</v>
      </c>
      <c r="E121" s="7" t="n">
        <v>0</v>
      </c>
      <c r="F121" s="1" t="str">
        <f aca="false">IF(E121&gt;=0.995,"Completado",IF(E121&gt;0,"En curso","Pendiente"))</f>
        <v>Pendiente</v>
      </c>
      <c r="G121" s="8" t="s">
        <v>497</v>
      </c>
      <c r="H121" s="4" t="s">
        <v>71</v>
      </c>
      <c r="I121" s="1" t="n">
        <f aca="false">IF(E121&gt;=0.995,3,IF(E121&gt;0,2,1))</f>
        <v>1</v>
      </c>
      <c r="J121" s="1" t="s">
        <v>259</v>
      </c>
    </row>
    <row r="122" customFormat="false" ht="30" hidden="false" customHeight="true" outlineLevel="0" collapsed="false">
      <c r="A122" s="2" t="s">
        <v>501</v>
      </c>
      <c r="B122" s="2" t="s">
        <v>502</v>
      </c>
      <c r="C122" s="2" t="s">
        <v>503</v>
      </c>
      <c r="D122" s="2" t="n">
        <v>2</v>
      </c>
      <c r="E122" s="5" t="n">
        <f aca="false">SUMPRODUCT((D123:D124=3)*E123:E124)/COUNTIF(D123:D124,3)</f>
        <v>0</v>
      </c>
      <c r="F122" s="2" t="str">
        <f aca="false">IF(E122&gt;=0.995,"Completado",IF(E122&gt;0,"En curso","Pendiente"))</f>
        <v>Pendiente</v>
      </c>
      <c r="G122" s="6"/>
      <c r="H122" s="2"/>
      <c r="I122" s="1" t="n">
        <f aca="false">IF(E122&gt;=0.995,3,IF(E122&gt;0,2,1))</f>
        <v>1</v>
      </c>
      <c r="J122" s="1" t="s">
        <v>259</v>
      </c>
    </row>
    <row r="123" customFormat="false" ht="15" hidden="false" customHeight="true" outlineLevel="0" collapsed="false">
      <c r="A123" s="1" t="s">
        <v>504</v>
      </c>
      <c r="B123" s="1" t="s">
        <v>505</v>
      </c>
      <c r="C123" s="1" t="s">
        <v>506</v>
      </c>
      <c r="D123" s="1" t="n">
        <v>3</v>
      </c>
      <c r="E123" s="7" t="n">
        <v>0</v>
      </c>
      <c r="F123" s="1" t="str">
        <f aca="false">IF(E123&gt;=0.995,"Completado",IF(E123&gt;0,"En curso","Pendiente"))</f>
        <v>Pendiente</v>
      </c>
      <c r="G123" s="8" t="s">
        <v>497</v>
      </c>
      <c r="H123" s="4" t="s">
        <v>71</v>
      </c>
      <c r="I123" s="1" t="n">
        <f aca="false">IF(E123&gt;=0.995,3,IF(E123&gt;0,2,1))</f>
        <v>1</v>
      </c>
      <c r="J123" s="1" t="s">
        <v>259</v>
      </c>
    </row>
    <row r="124" customFormat="false" ht="30" hidden="false" customHeight="true" outlineLevel="0" collapsed="false">
      <c r="A124" s="1" t="s">
        <v>507</v>
      </c>
      <c r="B124" s="1" t="s">
        <v>508</v>
      </c>
      <c r="C124" s="1" t="s">
        <v>509</v>
      </c>
      <c r="D124" s="1" t="n">
        <v>3</v>
      </c>
      <c r="E124" s="7" t="n">
        <v>0</v>
      </c>
      <c r="F124" s="1" t="str">
        <f aca="false">IF(E124&gt;=0.995,"Completado",IF(E124&gt;0,"En curso","Pendiente"))</f>
        <v>Pendiente</v>
      </c>
      <c r="G124" s="8" t="s">
        <v>497</v>
      </c>
      <c r="H124" s="4" t="s">
        <v>71</v>
      </c>
      <c r="I124" s="1" t="n">
        <f aca="false">IF(E124&gt;=0.995,3,IF(E124&gt;0,2,1))</f>
        <v>1</v>
      </c>
      <c r="J124" s="1" t="s">
        <v>259</v>
      </c>
    </row>
    <row r="125" customFormat="false" ht="15" hidden="false" customHeight="true" outlineLevel="0" collapsed="false">
      <c r="A125" s="2" t="s">
        <v>510</v>
      </c>
      <c r="B125" s="2" t="s">
        <v>511</v>
      </c>
      <c r="C125" s="2" t="s">
        <v>512</v>
      </c>
      <c r="D125" s="2" t="n">
        <v>1</v>
      </c>
      <c r="E125" s="5" t="n">
        <f aca="false">SUMPRODUCT((D126:D131=3)*E126:E131)/COUNTIF(D126:D131,3)</f>
        <v>0.3125</v>
      </c>
      <c r="F125" s="2" t="str">
        <f aca="false">IF(E125&gt;=0.995,"Completado",IF(E125&gt;0,"En curso","Pendiente"))</f>
        <v>En curso</v>
      </c>
      <c r="G125" s="6"/>
      <c r="H125" s="2"/>
      <c r="I125" s="1" t="n">
        <f aca="false">IF(E125&gt;=0.995,3,IF(E125&gt;0,2,1))</f>
        <v>2</v>
      </c>
      <c r="J125" s="1" t="s">
        <v>259</v>
      </c>
    </row>
    <row r="126" customFormat="false" ht="15" hidden="false" customHeight="true" outlineLevel="0" collapsed="false">
      <c r="A126" s="2" t="s">
        <v>513</v>
      </c>
      <c r="B126" s="2" t="s">
        <v>514</v>
      </c>
      <c r="C126" s="2" t="s">
        <v>515</v>
      </c>
      <c r="D126" s="2" t="n">
        <v>2</v>
      </c>
      <c r="E126" s="5" t="n">
        <f aca="false">SUMPRODUCT((D127:D128=3)*E127:E128)/COUNTIF(D127:D128,3)</f>
        <v>0.25</v>
      </c>
      <c r="F126" s="2" t="str">
        <f aca="false">IF(E126&gt;=0.995,"Completado",IF(E126&gt;0,"En curso","Pendiente"))</f>
        <v>En curso</v>
      </c>
      <c r="G126" s="6"/>
      <c r="H126" s="2"/>
      <c r="I126" s="1" t="n">
        <f aca="false">IF(E126&gt;=0.995,3,IF(E126&gt;0,2,1))</f>
        <v>2</v>
      </c>
      <c r="J126" s="1" t="s">
        <v>259</v>
      </c>
    </row>
    <row r="127" customFormat="false" ht="15" hidden="false" customHeight="true" outlineLevel="0" collapsed="false">
      <c r="A127" s="1" t="s">
        <v>516</v>
      </c>
      <c r="B127" s="1" t="s">
        <v>517</v>
      </c>
      <c r="C127" s="1" t="s">
        <v>518</v>
      </c>
      <c r="D127" s="1" t="n">
        <v>3</v>
      </c>
      <c r="E127" s="7" t="n">
        <v>0.5</v>
      </c>
      <c r="F127" s="1" t="str">
        <f aca="false">IF(E127&gt;=0.995,"Completado",IF(E127&gt;0,"En curso","Pendiente"))</f>
        <v>En curso</v>
      </c>
      <c r="G127" s="8" t="s">
        <v>519</v>
      </c>
      <c r="H127" s="4" t="s">
        <v>190</v>
      </c>
      <c r="I127" s="1" t="n">
        <f aca="false">IF(E127&gt;=0.995,3,IF(E127&gt;0,2,1))</f>
        <v>2</v>
      </c>
      <c r="J127" s="1" t="s">
        <v>259</v>
      </c>
    </row>
    <row r="128" customFormat="false" ht="15" hidden="false" customHeight="true" outlineLevel="0" collapsed="false">
      <c r="A128" s="1" t="s">
        <v>520</v>
      </c>
      <c r="B128" s="1" t="s">
        <v>521</v>
      </c>
      <c r="C128" s="1" t="s">
        <v>522</v>
      </c>
      <c r="D128" s="1" t="n">
        <v>3</v>
      </c>
      <c r="E128" s="7" t="n">
        <v>0</v>
      </c>
      <c r="F128" s="1" t="str">
        <f aca="false">IF(E128&gt;=0.995,"Completado",IF(E128&gt;0,"En curso","Pendiente"))</f>
        <v>Pendiente</v>
      </c>
      <c r="G128" s="8" t="s">
        <v>358</v>
      </c>
      <c r="H128" s="4" t="s">
        <v>190</v>
      </c>
      <c r="I128" s="1" t="n">
        <f aca="false">IF(E128&gt;=0.995,3,IF(E128&gt;0,2,1))</f>
        <v>1</v>
      </c>
      <c r="J128" s="1" t="s">
        <v>259</v>
      </c>
    </row>
    <row r="129" customFormat="false" ht="15" hidden="false" customHeight="true" outlineLevel="0" collapsed="false">
      <c r="A129" s="2" t="s">
        <v>523</v>
      </c>
      <c r="B129" s="2" t="s">
        <v>524</v>
      </c>
      <c r="C129" s="2" t="s">
        <v>525</v>
      </c>
      <c r="D129" s="2" t="n">
        <v>2</v>
      </c>
      <c r="E129" s="5" t="n">
        <f aca="false">SUMPRODUCT((D130:D131=3)*E130:E131)/COUNTIF(D130:D131,3)</f>
        <v>0.375</v>
      </c>
      <c r="F129" s="2" t="str">
        <f aca="false">IF(E129&gt;=0.995,"Completado",IF(E129&gt;0,"En curso","Pendiente"))</f>
        <v>En curso</v>
      </c>
      <c r="G129" s="6"/>
      <c r="H129" s="2"/>
      <c r="I129" s="1" t="n">
        <f aca="false">IF(E129&gt;=0.995,3,IF(E129&gt;0,2,1))</f>
        <v>2</v>
      </c>
      <c r="J129" s="1" t="s">
        <v>259</v>
      </c>
    </row>
    <row r="130" customFormat="false" ht="15" hidden="false" customHeight="true" outlineLevel="0" collapsed="false">
      <c r="A130" s="1" t="s">
        <v>526</v>
      </c>
      <c r="B130" s="1" t="s">
        <v>527</v>
      </c>
      <c r="C130" s="1" t="s">
        <v>528</v>
      </c>
      <c r="D130" s="1" t="n">
        <v>3</v>
      </c>
      <c r="E130" s="7" t="n">
        <v>0.75</v>
      </c>
      <c r="F130" s="1" t="str">
        <f aca="false">IF(E130&gt;=0.995,"Completado",IF(E130&gt;0,"En curso","Pendiente"))</f>
        <v>En curso</v>
      </c>
      <c r="G130" s="8" t="s">
        <v>529</v>
      </c>
      <c r="H130" s="4" t="s">
        <v>66</v>
      </c>
      <c r="I130" s="1" t="n">
        <f aca="false">IF(E130&gt;=0.995,3,IF(E130&gt;0,2,1))</f>
        <v>2</v>
      </c>
      <c r="J130" s="1" t="s">
        <v>259</v>
      </c>
    </row>
    <row r="131" customFormat="false" ht="15" hidden="false" customHeight="true" outlineLevel="0" collapsed="false">
      <c r="A131" s="1" t="s">
        <v>530</v>
      </c>
      <c r="B131" s="1" t="s">
        <v>531</v>
      </c>
      <c r="C131" s="1" t="s">
        <v>532</v>
      </c>
      <c r="D131" s="1" t="n">
        <v>3</v>
      </c>
      <c r="E131" s="7" t="n">
        <v>0</v>
      </c>
      <c r="F131" s="1" t="str">
        <f aca="false">IF(E131&gt;=0.995,"Completado",IF(E131&gt;0,"En curso","Pendiente"))</f>
        <v>Pendiente</v>
      </c>
      <c r="G131" s="8" t="s">
        <v>358</v>
      </c>
      <c r="H131" s="4" t="s">
        <v>190</v>
      </c>
      <c r="I131" s="1" t="n">
        <f aca="false">IF(E131&gt;=0.995,3,IF(E131&gt;0,2,1))</f>
        <v>1</v>
      </c>
      <c r="J131" s="1" t="s">
        <v>259</v>
      </c>
    </row>
    <row r="132" customFormat="false" ht="15" hidden="false" customHeight="true" outlineLevel="0" collapsed="false">
      <c r="A132" s="2" t="s">
        <v>533</v>
      </c>
      <c r="B132" s="2" t="s">
        <v>534</v>
      </c>
      <c r="C132" s="2" t="s">
        <v>535</v>
      </c>
      <c r="D132" s="2" t="n">
        <v>1</v>
      </c>
      <c r="E132" s="5" t="n">
        <f aca="false">SUMPRODUCT((D133:D140=3)*E133:E140)/COUNTIF(D133:D140,3)</f>
        <v>0.125</v>
      </c>
      <c r="F132" s="2" t="str">
        <f aca="false">IF(E132&gt;=0.995,"Completado",IF(E132&gt;0,"En curso","Pendiente"))</f>
        <v>En curso</v>
      </c>
      <c r="G132" s="6"/>
      <c r="H132" s="2"/>
      <c r="I132" s="1" t="n">
        <f aca="false">IF(E132&gt;=0.995,3,IF(E132&gt;0,2,1))</f>
        <v>2</v>
      </c>
      <c r="J132" s="1" t="s">
        <v>259</v>
      </c>
    </row>
    <row r="133" customFormat="false" ht="15" hidden="false" customHeight="true" outlineLevel="0" collapsed="false">
      <c r="A133" s="2" t="s">
        <v>536</v>
      </c>
      <c r="B133" s="2" t="s">
        <v>537</v>
      </c>
      <c r="C133" s="2" t="s">
        <v>538</v>
      </c>
      <c r="D133" s="2" t="n">
        <v>2</v>
      </c>
      <c r="E133" s="5" t="n">
        <f aca="false">SUMPRODUCT((D134:D136=3)*E134:E136)/COUNTIF(D134:D136,3)</f>
        <v>0.25</v>
      </c>
      <c r="F133" s="2" t="str">
        <f aca="false">IF(E133&gt;=0.995,"Completado",IF(E133&gt;0,"En curso","Pendiente"))</f>
        <v>En curso</v>
      </c>
      <c r="G133" s="6"/>
      <c r="H133" s="2"/>
      <c r="I133" s="1" t="n">
        <f aca="false">IF(E133&gt;=0.995,3,IF(E133&gt;0,2,1))</f>
        <v>2</v>
      </c>
      <c r="J133" s="1" t="s">
        <v>259</v>
      </c>
    </row>
    <row r="134" customFormat="false" ht="15" hidden="false" customHeight="true" outlineLevel="0" collapsed="false">
      <c r="A134" s="1" t="s">
        <v>539</v>
      </c>
      <c r="B134" s="1" t="s">
        <v>540</v>
      </c>
      <c r="C134" s="1" t="s">
        <v>541</v>
      </c>
      <c r="D134" s="1" t="n">
        <v>3</v>
      </c>
      <c r="E134" s="7" t="n">
        <v>0.5</v>
      </c>
      <c r="F134" s="1" t="str">
        <f aca="false">IF(E134&gt;=0.995,"Completado",IF(E134&gt;0,"En curso","Pendiente"))</f>
        <v>En curso</v>
      </c>
      <c r="G134" s="8" t="s">
        <v>542</v>
      </c>
      <c r="H134" s="4" t="s">
        <v>71</v>
      </c>
      <c r="I134" s="1" t="n">
        <f aca="false">IF(E134&gt;=0.995,3,IF(E134&gt;0,2,1))</f>
        <v>2</v>
      </c>
      <c r="J134" s="1" t="s">
        <v>259</v>
      </c>
    </row>
    <row r="135" customFormat="false" ht="15" hidden="false" customHeight="true" outlineLevel="0" collapsed="false">
      <c r="A135" s="1" t="s">
        <v>543</v>
      </c>
      <c r="B135" s="1" t="s">
        <v>544</v>
      </c>
      <c r="C135" s="1" t="s">
        <v>545</v>
      </c>
      <c r="D135" s="1" t="n">
        <v>3</v>
      </c>
      <c r="E135" s="7" t="n">
        <v>0.25</v>
      </c>
      <c r="F135" s="1" t="str">
        <f aca="false">IF(E135&gt;=0.995,"Completado",IF(E135&gt;0,"En curso","Pendiente"))</f>
        <v>En curso</v>
      </c>
      <c r="G135" s="8" t="s">
        <v>546</v>
      </c>
      <c r="H135" s="4" t="s">
        <v>66</v>
      </c>
      <c r="I135" s="1" t="n">
        <f aca="false">IF(E135&gt;=0.995,3,IF(E135&gt;0,2,1))</f>
        <v>2</v>
      </c>
      <c r="J135" s="1" t="s">
        <v>259</v>
      </c>
    </row>
    <row r="136" customFormat="false" ht="15" hidden="false" customHeight="true" outlineLevel="0" collapsed="false">
      <c r="A136" s="1" t="s">
        <v>547</v>
      </c>
      <c r="B136" s="1" t="s">
        <v>548</v>
      </c>
      <c r="C136" s="1" t="s">
        <v>549</v>
      </c>
      <c r="D136" s="1" t="n">
        <v>3</v>
      </c>
      <c r="E136" s="7" t="n">
        <v>0</v>
      </c>
      <c r="F136" s="1" t="str">
        <f aca="false">IF(E136&gt;=0.995,"Completado",IF(E136&gt;0,"En curso","Pendiente"))</f>
        <v>Pendiente</v>
      </c>
      <c r="G136" s="8" t="s">
        <v>443</v>
      </c>
      <c r="H136" s="4" t="s">
        <v>71</v>
      </c>
      <c r="I136" s="1" t="n">
        <f aca="false">IF(E136&gt;=0.995,3,IF(E136&gt;0,2,1))</f>
        <v>1</v>
      </c>
      <c r="J136" s="1" t="s">
        <v>259</v>
      </c>
    </row>
    <row r="137" customFormat="false" ht="15" hidden="false" customHeight="true" outlineLevel="0" collapsed="false">
      <c r="A137" s="2" t="s">
        <v>550</v>
      </c>
      <c r="B137" s="2" t="s">
        <v>551</v>
      </c>
      <c r="C137" s="2" t="s">
        <v>552</v>
      </c>
      <c r="D137" s="2" t="n">
        <v>2</v>
      </c>
      <c r="E137" s="5" t="n">
        <f aca="false">SUMPRODUCT((D138:D140=3)*E138:E140)/COUNTIF(D138:D140,3)</f>
        <v>0</v>
      </c>
      <c r="F137" s="2" t="str">
        <f aca="false">IF(E137&gt;=0.995,"Completado",IF(E137&gt;0,"En curso","Pendiente"))</f>
        <v>Pendiente</v>
      </c>
      <c r="G137" s="6"/>
      <c r="H137" s="2"/>
      <c r="I137" s="1" t="n">
        <f aca="false">IF(E137&gt;=0.995,3,IF(E137&gt;0,2,1))</f>
        <v>1</v>
      </c>
      <c r="J137" s="1" t="s">
        <v>259</v>
      </c>
    </row>
    <row r="138" customFormat="false" ht="15" hidden="false" customHeight="true" outlineLevel="0" collapsed="false">
      <c r="A138" s="1" t="s">
        <v>553</v>
      </c>
      <c r="B138" s="1" t="s">
        <v>554</v>
      </c>
      <c r="C138" s="1" t="s">
        <v>555</v>
      </c>
      <c r="D138" s="1" t="n">
        <v>3</v>
      </c>
      <c r="E138" s="7" t="n">
        <v>0</v>
      </c>
      <c r="F138" s="1" t="str">
        <f aca="false">IF(E138&gt;=0.995,"Completado",IF(E138&gt;0,"En curso","Pendiente"))</f>
        <v>Pendiente</v>
      </c>
      <c r="G138" s="8" t="s">
        <v>358</v>
      </c>
      <c r="H138" s="4" t="s">
        <v>190</v>
      </c>
      <c r="I138" s="1" t="n">
        <f aca="false">IF(E138&gt;=0.995,3,IF(E138&gt;0,2,1))</f>
        <v>1</v>
      </c>
      <c r="J138" s="1" t="s">
        <v>259</v>
      </c>
    </row>
    <row r="139" customFormat="false" ht="15" hidden="false" customHeight="true" outlineLevel="0" collapsed="false">
      <c r="A139" s="1" t="s">
        <v>556</v>
      </c>
      <c r="B139" s="1" t="s">
        <v>557</v>
      </c>
      <c r="C139" s="1" t="s">
        <v>545</v>
      </c>
      <c r="D139" s="1" t="n">
        <v>3</v>
      </c>
      <c r="E139" s="7" t="n">
        <v>0</v>
      </c>
      <c r="F139" s="1" t="str">
        <f aca="false">IF(E139&gt;=0.995,"Completado",IF(E139&gt;0,"En curso","Pendiente"))</f>
        <v>Pendiente</v>
      </c>
      <c r="G139" s="8" t="s">
        <v>443</v>
      </c>
      <c r="H139" s="4" t="s">
        <v>71</v>
      </c>
      <c r="I139" s="1" t="n">
        <f aca="false">IF(E139&gt;=0.995,3,IF(E139&gt;0,2,1))</f>
        <v>1</v>
      </c>
      <c r="J139" s="1" t="s">
        <v>259</v>
      </c>
    </row>
    <row r="140" customFormat="false" ht="15" hidden="false" customHeight="true" outlineLevel="0" collapsed="false">
      <c r="A140" s="1" t="s">
        <v>558</v>
      </c>
      <c r="B140" s="1" t="s">
        <v>559</v>
      </c>
      <c r="C140" s="1" t="s">
        <v>549</v>
      </c>
      <c r="D140" s="1" t="n">
        <v>3</v>
      </c>
      <c r="E140" s="7" t="n">
        <v>0</v>
      </c>
      <c r="F140" s="1" t="str">
        <f aca="false">IF(E140&gt;=0.995,"Completado",IF(E140&gt;0,"En curso","Pendiente"))</f>
        <v>Pendiente</v>
      </c>
      <c r="G140" s="8" t="s">
        <v>443</v>
      </c>
      <c r="H140" s="4" t="s">
        <v>71</v>
      </c>
      <c r="I140" s="1" t="n">
        <f aca="false">IF(E140&gt;=0.995,3,IF(E140&gt;0,2,1))</f>
        <v>1</v>
      </c>
      <c r="J140" s="1" t="s">
        <v>259</v>
      </c>
    </row>
    <row r="141" customFormat="false" ht="15" hidden="false" customHeight="true" outlineLevel="0" collapsed="false">
      <c r="A141" s="2" t="s">
        <v>560</v>
      </c>
      <c r="B141" s="2" t="s">
        <v>561</v>
      </c>
      <c r="C141" s="2" t="s">
        <v>562</v>
      </c>
      <c r="D141" s="2" t="n">
        <v>1</v>
      </c>
      <c r="E141" s="5" t="n">
        <f aca="false">SUMPRODUCT((D142:D145=3)*E142:E145)/COUNTIF(D142:D145,3)</f>
        <v>0.9</v>
      </c>
      <c r="F141" s="2" t="str">
        <f aca="false">IF(E141&gt;=0.995,"Completado",IF(E141&gt;0,"En curso","Pendiente"))</f>
        <v>En curso</v>
      </c>
      <c r="G141" s="6"/>
      <c r="H141" s="2"/>
      <c r="I141" s="1" t="n">
        <f aca="false">IF(E141&gt;=0.995,3,IF(E141&gt;0,2,1))</f>
        <v>2</v>
      </c>
      <c r="J141" s="1" t="s">
        <v>259</v>
      </c>
    </row>
    <row r="142" customFormat="false" ht="15" hidden="false" customHeight="true" outlineLevel="0" collapsed="false">
      <c r="A142" s="2" t="s">
        <v>563</v>
      </c>
      <c r="B142" s="2" t="s">
        <v>564</v>
      </c>
      <c r="C142" s="2" t="s">
        <v>565</v>
      </c>
      <c r="D142" s="2" t="n">
        <v>2</v>
      </c>
      <c r="E142" s="5" t="n">
        <f aca="false">SUMPRODUCT((D143:D143=3)*E143:E143)/COUNTIF(D143:D143,3)</f>
        <v>0.9</v>
      </c>
      <c r="F142" s="2" t="str">
        <f aca="false">IF(E142&gt;=0.995,"Completado",IF(E142&gt;0,"En curso","Pendiente"))</f>
        <v>En curso</v>
      </c>
      <c r="G142" s="6"/>
      <c r="H142" s="2"/>
      <c r="I142" s="1" t="n">
        <f aca="false">IF(E142&gt;=0.995,3,IF(E142&gt;0,2,1))</f>
        <v>2</v>
      </c>
      <c r="J142" s="1" t="s">
        <v>259</v>
      </c>
    </row>
    <row r="143" customFormat="false" ht="15" hidden="false" customHeight="true" outlineLevel="0" collapsed="false">
      <c r="A143" s="1" t="s">
        <v>566</v>
      </c>
      <c r="B143" s="1" t="s">
        <v>567</v>
      </c>
      <c r="C143" s="1" t="s">
        <v>568</v>
      </c>
      <c r="D143" s="1" t="n">
        <v>3</v>
      </c>
      <c r="E143" s="7" t="n">
        <v>0.9</v>
      </c>
      <c r="F143" s="1" t="str">
        <f aca="false">IF(E143&gt;=0.995,"Completado",IF(E143&gt;0,"En curso","Pendiente"))</f>
        <v>En curso</v>
      </c>
      <c r="G143" s="8" t="s">
        <v>569</v>
      </c>
      <c r="H143" s="4" t="s">
        <v>71</v>
      </c>
      <c r="I143" s="1" t="n">
        <f aca="false">IF(E143&gt;=0.995,3,IF(E143&gt;0,2,1))</f>
        <v>2</v>
      </c>
      <c r="J143" s="1" t="s">
        <v>259</v>
      </c>
    </row>
    <row r="144" customFormat="false" ht="15" hidden="false" customHeight="true" outlineLevel="0" collapsed="false">
      <c r="A144" s="2" t="s">
        <v>570</v>
      </c>
      <c r="B144" s="2" t="s">
        <v>571</v>
      </c>
      <c r="C144" s="2" t="s">
        <v>572</v>
      </c>
      <c r="D144" s="2" t="n">
        <v>2</v>
      </c>
      <c r="E144" s="5" t="n">
        <f aca="false">SUMPRODUCT((D145:D145=3)*E145:E145)/COUNTIF(D145:D145,3)</f>
        <v>0.9</v>
      </c>
      <c r="F144" s="2" t="str">
        <f aca="false">IF(E144&gt;=0.995,"Completado",IF(E144&gt;0,"En curso","Pendiente"))</f>
        <v>En curso</v>
      </c>
      <c r="G144" s="6"/>
      <c r="H144" s="2"/>
      <c r="I144" s="1" t="n">
        <f aca="false">IF(E144&gt;=0.995,3,IF(E144&gt;0,2,1))</f>
        <v>2</v>
      </c>
      <c r="J144" s="1" t="s">
        <v>259</v>
      </c>
    </row>
    <row r="145" customFormat="false" ht="15" hidden="false" customHeight="true" outlineLevel="0" collapsed="false">
      <c r="A145" s="1" t="s">
        <v>573</v>
      </c>
      <c r="B145" s="1" t="s">
        <v>574</v>
      </c>
      <c r="C145" s="1" t="s">
        <v>568</v>
      </c>
      <c r="D145" s="1" t="n">
        <v>3</v>
      </c>
      <c r="E145" s="7" t="n">
        <v>0.9</v>
      </c>
      <c r="F145" s="1" t="str">
        <f aca="false">IF(E145&gt;=0.995,"Completado",IF(E145&gt;0,"En curso","Pendiente"))</f>
        <v>En curso</v>
      </c>
      <c r="G145" s="8" t="s">
        <v>575</v>
      </c>
      <c r="H145" s="4" t="s">
        <v>71</v>
      </c>
      <c r="I145" s="1" t="n">
        <f aca="false">IF(E145&gt;=0.995,3,IF(E145&gt;0,2,1))</f>
        <v>2</v>
      </c>
      <c r="J145" s="1" t="s">
        <v>259</v>
      </c>
    </row>
  </sheetData>
  <autoFilter ref="A1:J145"/>
  <conditionalFormatting sqref="F2:F145">
    <cfRule type="expression" priority="2" aboveAverage="0" equalAverage="0" bottom="0" percent="0" rank="0" text="" dxfId="12">
      <formula>$F2="Completado"</formula>
    </cfRule>
    <cfRule type="expression" priority="3" aboveAverage="0" equalAverage="0" bottom="0" percent="0" rank="0" text="" dxfId="13">
      <formula>$F2="En curso"</formula>
    </cfRule>
    <cfRule type="expression" priority="4" aboveAverage="0" equalAverage="0" bottom="0" percent="0" rank="0" text="" dxfId="14">
      <formula>$F2="Pendiente"</formula>
    </cfRule>
  </conditionalFormatting>
  <conditionalFormatting sqref="H2:H145">
    <cfRule type="expression" priority="5" aboveAverage="0" equalAverage="0" bottom="0" percent="0" rank="0" text="" dxfId="15">
      <formula>$H2="Por confirmar"</formula>
    </cfRule>
  </conditionalFormatting>
  <dataValidations count="1">
    <dataValidation allowBlank="true" errorStyle="stop" operator="between" showDropDown="false" showErrorMessage="false" showInputMessage="false" sqref="H2:H145" type="list">
      <formula1>"Alta,Media,Por confirmar"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84" activePane="bottomRight" state="frozen"/>
      <selection pane="topLeft" activeCell="A1" activeCellId="0" sqref="A1"/>
      <selection pane="topRight" activeCell="B1" activeCellId="0" sqref="B1"/>
      <selection pane="bottomLeft" activeCell="A84" activeCellId="0" sqref="A84"/>
      <selection pane="bottomRight" activeCell="D12" activeCellId="0" sqref="D12"/>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7"/>
    <col collapsed="false" customWidth="true" hidden="false" outlineLevel="0" max="3" min="3" style="1" width="19.52"/>
    <col collapsed="false" customWidth="true" hidden="false" outlineLevel="0" max="12" min="4" style="1" width="7"/>
  </cols>
  <sheetData>
    <row r="1" customFormat="false" ht="15" hidden="false" customHeight="true" outlineLevel="0" collapsed="false">
      <c r="A1" s="1" t="s">
        <v>46</v>
      </c>
      <c r="B1" s="1" t="s">
        <v>576</v>
      </c>
      <c r="C1" s="1" t="s">
        <v>577</v>
      </c>
      <c r="D1" s="1" t="s">
        <v>578</v>
      </c>
      <c r="E1" s="1" t="s">
        <v>579</v>
      </c>
      <c r="F1" s="1" t="s">
        <v>580</v>
      </c>
      <c r="G1" s="1" t="s">
        <v>581</v>
      </c>
      <c r="H1" s="1" t="s">
        <v>582</v>
      </c>
      <c r="I1" s="1" t="s">
        <v>583</v>
      </c>
      <c r="J1" s="1" t="s">
        <v>584</v>
      </c>
      <c r="K1" s="1" t="s">
        <v>585</v>
      </c>
      <c r="L1" s="1" t="s">
        <v>586</v>
      </c>
      <c r="M1" s="1" t="s">
        <v>587</v>
      </c>
    </row>
    <row r="2" customFormat="false" ht="15" hidden="false" customHeight="true" outlineLevel="0" collapsed="false">
      <c r="A2" s="1" t="s">
        <v>56</v>
      </c>
      <c r="B2" s="1" t="n">
        <f aca="false">IF(Pertenencia!B2=1,Plan!$I2,0)</f>
        <v>0</v>
      </c>
      <c r="C2" s="1" t="n">
        <f aca="false">IF(Pertenencia!C2=1,Plan!$I2,0)</f>
        <v>0</v>
      </c>
      <c r="D2" s="1" t="n">
        <f aca="false">IF(Pertenencia!D2=1,Plan!$I2,0)</f>
        <v>0</v>
      </c>
      <c r="E2" s="1" t="n">
        <f aca="false">IF(Pertenencia!E2=1,Plan!$I2,0)</f>
        <v>0</v>
      </c>
      <c r="F2" s="1" t="n">
        <f aca="false">IF(Pertenencia!F2=1,Plan!$I2,0)</f>
        <v>0</v>
      </c>
      <c r="G2" s="1" t="n">
        <f aca="false">IF(Pertenencia!G2=1,Plan!$I2,0)</f>
        <v>0</v>
      </c>
      <c r="H2" s="1" t="n">
        <f aca="false">IF(Pertenencia!H2=1,Plan!$I2,0)</f>
        <v>0</v>
      </c>
      <c r="I2" s="1" t="n">
        <f aca="false">IF(Pertenencia!I2=1,Plan!$I2,0)</f>
        <v>3</v>
      </c>
      <c r="J2" s="1" t="n">
        <f aca="false">IF(Pertenencia!J2=1,Plan!$I2,0)</f>
        <v>0</v>
      </c>
      <c r="K2" s="1" t="n">
        <f aca="false">IF(Pertenencia!K2=1,Plan!$I2,0)</f>
        <v>0</v>
      </c>
      <c r="L2" s="1" t="n">
        <f aca="false">IF(Pertenencia!L2=1,Plan!$I2,0)</f>
        <v>0</v>
      </c>
      <c r="M2" s="1" t="n">
        <f aca="false">IF(Pertenencia!M2=1,Plan!$I2,0)</f>
        <v>0</v>
      </c>
    </row>
    <row r="3" customFormat="false" ht="15" hidden="false" customHeight="true" outlineLevel="0" collapsed="false">
      <c r="A3" s="1" t="s">
        <v>59</v>
      </c>
      <c r="B3" s="1" t="n">
        <f aca="false">IF(Pertenencia!B3=1,Plan!$I3,0)</f>
        <v>0</v>
      </c>
      <c r="C3" s="1" t="n">
        <f aca="false">IF(Pertenencia!C3=1,Plan!$I3,0)</f>
        <v>0</v>
      </c>
      <c r="D3" s="1" t="n">
        <f aca="false">IF(Pertenencia!D3=1,Plan!$I3,0)</f>
        <v>0</v>
      </c>
      <c r="E3" s="1" t="n">
        <f aca="false">IF(Pertenencia!E3=1,Plan!$I3,0)</f>
        <v>0</v>
      </c>
      <c r="F3" s="1" t="n">
        <f aca="false">IF(Pertenencia!F3=1,Plan!$I3,0)</f>
        <v>0</v>
      </c>
      <c r="G3" s="1" t="n">
        <f aca="false">IF(Pertenencia!G3=1,Plan!$I3,0)</f>
        <v>0</v>
      </c>
      <c r="H3" s="1" t="n">
        <f aca="false">IF(Pertenencia!H3=1,Plan!$I3,0)</f>
        <v>0</v>
      </c>
      <c r="I3" s="1" t="n">
        <f aca="false">IF(Pertenencia!I3=1,Plan!$I3,0)</f>
        <v>3</v>
      </c>
      <c r="J3" s="1" t="n">
        <f aca="false">IF(Pertenencia!J3=1,Plan!$I3,0)</f>
        <v>0</v>
      </c>
      <c r="K3" s="1" t="n">
        <f aca="false">IF(Pertenencia!K3=1,Plan!$I3,0)</f>
        <v>0</v>
      </c>
      <c r="L3" s="1" t="n">
        <f aca="false">IF(Pertenencia!L3=1,Plan!$I3,0)</f>
        <v>0</v>
      </c>
      <c r="M3" s="1" t="n">
        <f aca="false">IF(Pertenencia!M3=1,Plan!$I3,0)</f>
        <v>0</v>
      </c>
    </row>
    <row r="4" customFormat="false" ht="15" hidden="false" customHeight="true" outlineLevel="0" collapsed="false">
      <c r="A4" s="1" t="s">
        <v>62</v>
      </c>
      <c r="B4" s="1" t="n">
        <f aca="false">IF(Pertenencia!B4=1,Plan!$I4,0)</f>
        <v>0</v>
      </c>
      <c r="C4" s="1" t="n">
        <f aca="false">IF(Pertenencia!C4=1,Plan!$I4,0)</f>
        <v>0</v>
      </c>
      <c r="D4" s="1" t="n">
        <f aca="false">IF(Pertenencia!D4=1,Plan!$I4,0)</f>
        <v>0</v>
      </c>
      <c r="E4" s="1" t="n">
        <f aca="false">IF(Pertenencia!E4=1,Plan!$I4,0)</f>
        <v>0</v>
      </c>
      <c r="F4" s="1" t="n">
        <f aca="false">IF(Pertenencia!F4=1,Plan!$I4,0)</f>
        <v>0</v>
      </c>
      <c r="G4" s="1" t="n">
        <f aca="false">IF(Pertenencia!G4=1,Plan!$I4,0)</f>
        <v>0</v>
      </c>
      <c r="H4" s="1" t="n">
        <f aca="false">IF(Pertenencia!H4=1,Plan!$I4,0)</f>
        <v>0</v>
      </c>
      <c r="I4" s="1" t="n">
        <f aca="false">IF(Pertenencia!I4=1,Plan!$I4,0)</f>
        <v>3</v>
      </c>
      <c r="J4" s="1" t="n">
        <f aca="false">IF(Pertenencia!J4=1,Plan!$I4,0)</f>
        <v>0</v>
      </c>
      <c r="K4" s="1" t="n">
        <f aca="false">IF(Pertenencia!K4=1,Plan!$I4,0)</f>
        <v>0</v>
      </c>
      <c r="L4" s="1" t="n">
        <f aca="false">IF(Pertenencia!L4=1,Plan!$I4,0)</f>
        <v>0</v>
      </c>
      <c r="M4" s="1" t="n">
        <f aca="false">IF(Pertenencia!M4=1,Plan!$I4,0)</f>
        <v>0</v>
      </c>
    </row>
    <row r="5" customFormat="false" ht="15" hidden="false" customHeight="true" outlineLevel="0" collapsed="false">
      <c r="A5" s="1" t="s">
        <v>67</v>
      </c>
      <c r="B5" s="1" t="n">
        <f aca="false">IF(Pertenencia!B5=1,Plan!$I5,0)</f>
        <v>0</v>
      </c>
      <c r="C5" s="1" t="n">
        <f aca="false">IF(Pertenencia!C5=1,Plan!$I5,0)</f>
        <v>0</v>
      </c>
      <c r="D5" s="1" t="n">
        <f aca="false">IF(Pertenencia!D5=1,Plan!$I5,0)</f>
        <v>0</v>
      </c>
      <c r="E5" s="1" t="n">
        <f aca="false">IF(Pertenencia!E5=1,Plan!$I5,0)</f>
        <v>0</v>
      </c>
      <c r="F5" s="1" t="n">
        <f aca="false">IF(Pertenencia!F5=1,Plan!$I5,0)</f>
        <v>0</v>
      </c>
      <c r="G5" s="1" t="n">
        <f aca="false">IF(Pertenencia!G5=1,Plan!$I5,0)</f>
        <v>0</v>
      </c>
      <c r="H5" s="1" t="n">
        <f aca="false">IF(Pertenencia!H5=1,Plan!$I5,0)</f>
        <v>0</v>
      </c>
      <c r="I5" s="1" t="n">
        <f aca="false">IF(Pertenencia!I5=1,Plan!$I5,0)</f>
        <v>3</v>
      </c>
      <c r="J5" s="1" t="n">
        <f aca="false">IF(Pertenencia!J5=1,Plan!$I5,0)</f>
        <v>0</v>
      </c>
      <c r="K5" s="1" t="n">
        <f aca="false">IF(Pertenencia!K5=1,Plan!$I5,0)</f>
        <v>0</v>
      </c>
      <c r="L5" s="1" t="n">
        <f aca="false">IF(Pertenencia!L5=1,Plan!$I5,0)</f>
        <v>0</v>
      </c>
      <c r="M5" s="1" t="n">
        <f aca="false">IF(Pertenencia!M5=1,Plan!$I5,0)</f>
        <v>0</v>
      </c>
    </row>
    <row r="6" customFormat="false" ht="15" hidden="false" customHeight="true" outlineLevel="0" collapsed="false">
      <c r="A6" s="1" t="s">
        <v>72</v>
      </c>
      <c r="B6" s="1" t="n">
        <f aca="false">IF(Pertenencia!B6=1,Plan!$I6,0)</f>
        <v>0</v>
      </c>
      <c r="C6" s="1" t="n">
        <f aca="false">IF(Pertenencia!C6=1,Plan!$I6,0)</f>
        <v>0</v>
      </c>
      <c r="D6" s="1" t="n">
        <f aca="false">IF(Pertenencia!D6=1,Plan!$I6,0)</f>
        <v>0</v>
      </c>
      <c r="E6" s="1" t="n">
        <f aca="false">IF(Pertenencia!E6=1,Plan!$I6,0)</f>
        <v>0</v>
      </c>
      <c r="F6" s="1" t="n">
        <f aca="false">IF(Pertenencia!F6=1,Plan!$I6,0)</f>
        <v>2</v>
      </c>
      <c r="G6" s="1" t="n">
        <f aca="false">IF(Pertenencia!G6=1,Plan!$I6,0)</f>
        <v>2</v>
      </c>
      <c r="H6" s="1" t="n">
        <f aca="false">IF(Pertenencia!H6=1,Plan!$I6,0)</f>
        <v>2</v>
      </c>
      <c r="I6" s="1" t="n">
        <f aca="false">IF(Pertenencia!I6=1,Plan!$I6,0)</f>
        <v>2</v>
      </c>
      <c r="J6" s="1" t="n">
        <f aca="false">IF(Pertenencia!J6=1,Plan!$I6,0)</f>
        <v>0</v>
      </c>
      <c r="K6" s="1" t="n">
        <f aca="false">IF(Pertenencia!K6=1,Plan!$I6,0)</f>
        <v>0</v>
      </c>
      <c r="L6" s="1" t="n">
        <f aca="false">IF(Pertenencia!L6=1,Plan!$I6,0)</f>
        <v>0</v>
      </c>
      <c r="M6" s="1" t="n">
        <f aca="false">IF(Pertenencia!M6=1,Plan!$I6,0)</f>
        <v>0</v>
      </c>
    </row>
    <row r="7" customFormat="false" ht="15" hidden="false" customHeight="true" outlineLevel="0" collapsed="false">
      <c r="A7" s="1" t="s">
        <v>75</v>
      </c>
      <c r="B7" s="1" t="n">
        <f aca="false">IF(Pertenencia!B7=1,Plan!$I7,0)</f>
        <v>0</v>
      </c>
      <c r="C7" s="1" t="n">
        <f aca="false">IF(Pertenencia!C7=1,Plan!$I7,0)</f>
        <v>0</v>
      </c>
      <c r="D7" s="1" t="n">
        <f aca="false">IF(Pertenencia!D7=1,Plan!$I7,0)</f>
        <v>0</v>
      </c>
      <c r="E7" s="1" t="n">
        <f aca="false">IF(Pertenencia!E7=1,Plan!$I7,0)</f>
        <v>0</v>
      </c>
      <c r="F7" s="1" t="n">
        <f aca="false">IF(Pertenencia!F7=1,Plan!$I7,0)</f>
        <v>2</v>
      </c>
      <c r="G7" s="1" t="n">
        <f aca="false">IF(Pertenencia!G7=1,Plan!$I7,0)</f>
        <v>0</v>
      </c>
      <c r="H7" s="1" t="n">
        <f aca="false">IF(Pertenencia!H7=1,Plan!$I7,0)</f>
        <v>2</v>
      </c>
      <c r="I7" s="1" t="n">
        <f aca="false">IF(Pertenencia!I7=1,Plan!$I7,0)</f>
        <v>2</v>
      </c>
      <c r="J7" s="1" t="n">
        <f aca="false">IF(Pertenencia!J7=1,Plan!$I7,0)</f>
        <v>0</v>
      </c>
      <c r="K7" s="1" t="n">
        <f aca="false">IF(Pertenencia!K7=1,Plan!$I7,0)</f>
        <v>0</v>
      </c>
      <c r="L7" s="1" t="n">
        <f aca="false">IF(Pertenencia!L7=1,Plan!$I7,0)</f>
        <v>0</v>
      </c>
      <c r="M7" s="1" t="n">
        <f aca="false">IF(Pertenencia!M7=1,Plan!$I7,0)</f>
        <v>0</v>
      </c>
    </row>
    <row r="8" customFormat="false" ht="15" hidden="false" customHeight="true" outlineLevel="0" collapsed="false">
      <c r="A8" s="1" t="s">
        <v>78</v>
      </c>
      <c r="B8" s="1" t="n">
        <f aca="false">IF(Pertenencia!B8=1,Plan!$I8,0)</f>
        <v>0</v>
      </c>
      <c r="C8" s="1" t="n">
        <f aca="false">IF(Pertenencia!C8=1,Plan!$I8,0)</f>
        <v>0</v>
      </c>
      <c r="D8" s="1" t="n">
        <f aca="false">IF(Pertenencia!D8=1,Plan!$I8,0)</f>
        <v>0</v>
      </c>
      <c r="E8" s="1" t="n">
        <f aca="false">IF(Pertenencia!E8=1,Plan!$I8,0)</f>
        <v>0</v>
      </c>
      <c r="F8" s="1" t="n">
        <f aca="false">IF(Pertenencia!F8=1,Plan!$I8,0)</f>
        <v>0</v>
      </c>
      <c r="G8" s="1" t="n">
        <f aca="false">IF(Pertenencia!G8=1,Plan!$I8,0)</f>
        <v>0</v>
      </c>
      <c r="H8" s="1" t="n">
        <f aca="false">IF(Pertenencia!H8=1,Plan!$I8,0)</f>
        <v>3</v>
      </c>
      <c r="I8" s="1" t="n">
        <f aca="false">IF(Pertenencia!I8=1,Plan!$I8,0)</f>
        <v>3</v>
      </c>
      <c r="J8" s="1" t="n">
        <f aca="false">IF(Pertenencia!J8=1,Plan!$I8,0)</f>
        <v>0</v>
      </c>
      <c r="K8" s="1" t="n">
        <f aca="false">IF(Pertenencia!K8=1,Plan!$I8,0)</f>
        <v>0</v>
      </c>
      <c r="L8" s="1" t="n">
        <f aca="false">IF(Pertenencia!L8=1,Plan!$I8,0)</f>
        <v>0</v>
      </c>
      <c r="M8" s="1" t="n">
        <f aca="false">IF(Pertenencia!M8=1,Plan!$I8,0)</f>
        <v>0</v>
      </c>
    </row>
    <row r="9" customFormat="false" ht="15" hidden="false" customHeight="true" outlineLevel="0" collapsed="false">
      <c r="A9" s="1" t="s">
        <v>82</v>
      </c>
      <c r="B9" s="1" t="n">
        <f aca="false">IF(Pertenencia!B9=1,Plan!$I9,0)</f>
        <v>0</v>
      </c>
      <c r="C9" s="1" t="n">
        <f aca="false">IF(Pertenencia!C9=1,Plan!$I9,0)</f>
        <v>0</v>
      </c>
      <c r="D9" s="1" t="n">
        <f aca="false">IF(Pertenencia!D9=1,Plan!$I9,0)</f>
        <v>0</v>
      </c>
      <c r="E9" s="1" t="n">
        <f aca="false">IF(Pertenencia!E9=1,Plan!$I9,0)</f>
        <v>0</v>
      </c>
      <c r="F9" s="1" t="n">
        <f aca="false">IF(Pertenencia!F9=1,Plan!$I9,0)</f>
        <v>0</v>
      </c>
      <c r="G9" s="1" t="n">
        <f aca="false">IF(Pertenencia!G9=1,Plan!$I9,0)</f>
        <v>0</v>
      </c>
      <c r="H9" s="1" t="n">
        <f aca="false">IF(Pertenencia!H9=1,Plan!$I9,0)</f>
        <v>0</v>
      </c>
      <c r="I9" s="1" t="n">
        <f aca="false">IF(Pertenencia!I9=1,Plan!$I9,0)</f>
        <v>2</v>
      </c>
      <c r="J9" s="1" t="n">
        <f aca="false">IF(Pertenencia!J9=1,Plan!$I9,0)</f>
        <v>0</v>
      </c>
      <c r="K9" s="1" t="n">
        <f aca="false">IF(Pertenencia!K9=1,Plan!$I9,0)</f>
        <v>0</v>
      </c>
      <c r="L9" s="1" t="n">
        <f aca="false">IF(Pertenencia!L9=1,Plan!$I9,0)</f>
        <v>0</v>
      </c>
      <c r="M9" s="1" t="n">
        <f aca="false">IF(Pertenencia!M9=1,Plan!$I9,0)</f>
        <v>0</v>
      </c>
    </row>
    <row r="10" customFormat="false" ht="15" hidden="false" customHeight="true" outlineLevel="0" collapsed="false">
      <c r="A10" s="1" t="s">
        <v>86</v>
      </c>
      <c r="B10" s="1" t="n">
        <f aca="false">IF(Pertenencia!B10=1,Plan!$I10,0)</f>
        <v>0</v>
      </c>
      <c r="C10" s="1" t="n">
        <f aca="false">IF(Pertenencia!C10=1,Plan!$I10,0)</f>
        <v>0</v>
      </c>
      <c r="D10" s="1" t="n">
        <f aca="false">IF(Pertenencia!D10=1,Plan!$I10,0)</f>
        <v>0</v>
      </c>
      <c r="E10" s="1" t="n">
        <f aca="false">IF(Pertenencia!E10=1,Plan!$I10,0)</f>
        <v>0</v>
      </c>
      <c r="F10" s="1" t="n">
        <f aca="false">IF(Pertenencia!F10=1,Plan!$I10,0)</f>
        <v>2</v>
      </c>
      <c r="G10" s="1" t="n">
        <f aca="false">IF(Pertenencia!G10=1,Plan!$I10,0)</f>
        <v>0</v>
      </c>
      <c r="H10" s="1" t="n">
        <f aca="false">IF(Pertenencia!H10=1,Plan!$I10,0)</f>
        <v>0</v>
      </c>
      <c r="I10" s="1" t="n">
        <f aca="false">IF(Pertenencia!I10=1,Plan!$I10,0)</f>
        <v>2</v>
      </c>
      <c r="J10" s="1" t="n">
        <f aca="false">IF(Pertenencia!J10=1,Plan!$I10,0)</f>
        <v>0</v>
      </c>
      <c r="K10" s="1" t="n">
        <f aca="false">IF(Pertenencia!K10=1,Plan!$I10,0)</f>
        <v>0</v>
      </c>
      <c r="L10" s="1" t="n">
        <f aca="false">IF(Pertenencia!L10=1,Plan!$I10,0)</f>
        <v>0</v>
      </c>
      <c r="M10" s="1" t="n">
        <f aca="false">IF(Pertenencia!M10=1,Plan!$I10,0)</f>
        <v>0</v>
      </c>
    </row>
    <row r="11" customFormat="false" ht="15" hidden="false" customHeight="true" outlineLevel="0" collapsed="false">
      <c r="A11" s="1" t="s">
        <v>90</v>
      </c>
      <c r="B11" s="1" t="n">
        <f aca="false">IF(Pertenencia!B11=1,Plan!$I11,0)</f>
        <v>0</v>
      </c>
      <c r="C11" s="1" t="n">
        <f aca="false">IF(Pertenencia!C11=1,Plan!$I11,0)</f>
        <v>0</v>
      </c>
      <c r="D11" s="1" t="n">
        <f aca="false">IF(Pertenencia!D11=1,Plan!$I11,0)</f>
        <v>0</v>
      </c>
      <c r="E11" s="1" t="n">
        <f aca="false">IF(Pertenencia!E11=1,Plan!$I11,0)</f>
        <v>0</v>
      </c>
      <c r="F11" s="1" t="n">
        <f aca="false">IF(Pertenencia!F11=1,Plan!$I11,0)</f>
        <v>0</v>
      </c>
      <c r="G11" s="1" t="n">
        <f aca="false">IF(Pertenencia!G11=1,Plan!$I11,0)</f>
        <v>0</v>
      </c>
      <c r="H11" s="1" t="n">
        <f aca="false">IF(Pertenencia!H11=1,Plan!$I11,0)</f>
        <v>0</v>
      </c>
      <c r="I11" s="1" t="n">
        <f aca="false">IF(Pertenencia!I11=1,Plan!$I11,0)</f>
        <v>3</v>
      </c>
      <c r="J11" s="1" t="n">
        <f aca="false">IF(Pertenencia!J11=1,Plan!$I11,0)</f>
        <v>0</v>
      </c>
      <c r="K11" s="1" t="n">
        <f aca="false">IF(Pertenencia!K11=1,Plan!$I11,0)</f>
        <v>0</v>
      </c>
      <c r="L11" s="1" t="n">
        <f aca="false">IF(Pertenencia!L11=1,Plan!$I11,0)</f>
        <v>0</v>
      </c>
      <c r="M11" s="1" t="n">
        <f aca="false">IF(Pertenencia!M11=1,Plan!$I11,0)</f>
        <v>0</v>
      </c>
    </row>
    <row r="12" customFormat="false" ht="15" hidden="false" customHeight="true" outlineLevel="0" collapsed="false">
      <c r="A12" s="1" t="s">
        <v>94</v>
      </c>
      <c r="B12" s="1" t="n">
        <f aca="false">IF(Pertenencia!B12=1,Plan!$I12,0)</f>
        <v>0</v>
      </c>
      <c r="C12" s="1" t="n">
        <f aca="false">IF(Pertenencia!C12=1,Plan!$I12,0)</f>
        <v>0</v>
      </c>
      <c r="D12" s="1" t="n">
        <f aca="false">IF(Pertenencia!D12=1,Plan!$I12,0)</f>
        <v>0</v>
      </c>
      <c r="E12" s="1" t="n">
        <f aca="false">IF(Pertenencia!E12=1,Plan!$I12,0)</f>
        <v>0</v>
      </c>
      <c r="F12" s="1" t="n">
        <f aca="false">IF(Pertenencia!F12=1,Plan!$I12,0)</f>
        <v>2</v>
      </c>
      <c r="G12" s="1" t="n">
        <f aca="false">IF(Pertenencia!G12=1,Plan!$I12,0)</f>
        <v>2</v>
      </c>
      <c r="H12" s="1" t="n">
        <f aca="false">IF(Pertenencia!H12=1,Plan!$I12,0)</f>
        <v>0</v>
      </c>
      <c r="I12" s="1" t="n">
        <f aca="false">IF(Pertenencia!I12=1,Plan!$I12,0)</f>
        <v>0</v>
      </c>
      <c r="J12" s="1" t="n">
        <f aca="false">IF(Pertenencia!J12=1,Plan!$I12,0)</f>
        <v>0</v>
      </c>
      <c r="K12" s="1" t="n">
        <f aca="false">IF(Pertenencia!K12=1,Plan!$I12,0)</f>
        <v>0</v>
      </c>
      <c r="L12" s="1" t="n">
        <f aca="false">IF(Pertenencia!L12=1,Plan!$I12,0)</f>
        <v>0</v>
      </c>
      <c r="M12" s="1" t="n">
        <f aca="false">IF(Pertenencia!M12=1,Plan!$I12,0)</f>
        <v>0</v>
      </c>
    </row>
    <row r="13" customFormat="false" ht="15" hidden="false" customHeight="true" outlineLevel="0" collapsed="false">
      <c r="A13" s="1" t="s">
        <v>97</v>
      </c>
      <c r="B13" s="1" t="n">
        <f aca="false">IF(Pertenencia!B13=1,Plan!$I13,0)</f>
        <v>0</v>
      </c>
      <c r="C13" s="1" t="n">
        <f aca="false">IF(Pertenencia!C13=1,Plan!$I13,0)</f>
        <v>0</v>
      </c>
      <c r="D13" s="1" t="n">
        <f aca="false">IF(Pertenencia!D13=1,Plan!$I13,0)</f>
        <v>0</v>
      </c>
      <c r="E13" s="1" t="n">
        <f aca="false">IF(Pertenencia!E13=1,Plan!$I13,0)</f>
        <v>0</v>
      </c>
      <c r="F13" s="1" t="n">
        <f aca="false">IF(Pertenencia!F13=1,Plan!$I13,0)</f>
        <v>0</v>
      </c>
      <c r="G13" s="1" t="n">
        <f aca="false">IF(Pertenencia!G13=1,Plan!$I13,0)</f>
        <v>3</v>
      </c>
      <c r="H13" s="1" t="n">
        <f aca="false">IF(Pertenencia!H13=1,Plan!$I13,0)</f>
        <v>0</v>
      </c>
      <c r="I13" s="1" t="n">
        <f aca="false">IF(Pertenencia!I13=1,Plan!$I13,0)</f>
        <v>0</v>
      </c>
      <c r="J13" s="1" t="n">
        <f aca="false">IF(Pertenencia!J13=1,Plan!$I13,0)</f>
        <v>0</v>
      </c>
      <c r="K13" s="1" t="n">
        <f aca="false">IF(Pertenencia!K13=1,Plan!$I13,0)</f>
        <v>0</v>
      </c>
      <c r="L13" s="1" t="n">
        <f aca="false">IF(Pertenencia!L13=1,Plan!$I13,0)</f>
        <v>0</v>
      </c>
      <c r="M13" s="1" t="n">
        <f aca="false">IF(Pertenencia!M13=1,Plan!$I13,0)</f>
        <v>0</v>
      </c>
    </row>
    <row r="14" customFormat="false" ht="15" hidden="false" customHeight="true" outlineLevel="0" collapsed="false">
      <c r="A14" s="1" t="s">
        <v>101</v>
      </c>
      <c r="B14" s="1" t="n">
        <f aca="false">IF(Pertenencia!B14=1,Plan!$I14,0)</f>
        <v>0</v>
      </c>
      <c r="C14" s="1" t="n">
        <f aca="false">IF(Pertenencia!C14=1,Plan!$I14,0)</f>
        <v>0</v>
      </c>
      <c r="D14" s="1" t="n">
        <f aca="false">IF(Pertenencia!D14=1,Plan!$I14,0)</f>
        <v>0</v>
      </c>
      <c r="E14" s="1" t="n">
        <f aca="false">IF(Pertenencia!E14=1,Plan!$I14,0)</f>
        <v>0</v>
      </c>
      <c r="F14" s="1" t="n">
        <f aca="false">IF(Pertenencia!F14=1,Plan!$I14,0)</f>
        <v>0</v>
      </c>
      <c r="G14" s="1" t="n">
        <f aca="false">IF(Pertenencia!G14=1,Plan!$I14,0)</f>
        <v>2</v>
      </c>
      <c r="H14" s="1" t="n">
        <f aca="false">IF(Pertenencia!H14=1,Plan!$I14,0)</f>
        <v>0</v>
      </c>
      <c r="I14" s="1" t="n">
        <f aca="false">IF(Pertenencia!I14=1,Plan!$I14,0)</f>
        <v>0</v>
      </c>
      <c r="J14" s="1" t="n">
        <f aca="false">IF(Pertenencia!J14=1,Plan!$I14,0)</f>
        <v>0</v>
      </c>
      <c r="K14" s="1" t="n">
        <f aca="false">IF(Pertenencia!K14=1,Plan!$I14,0)</f>
        <v>0</v>
      </c>
      <c r="L14" s="1" t="n">
        <f aca="false">IF(Pertenencia!L14=1,Plan!$I14,0)</f>
        <v>0</v>
      </c>
      <c r="M14" s="1" t="n">
        <f aca="false">IF(Pertenencia!M14=1,Plan!$I14,0)</f>
        <v>0</v>
      </c>
    </row>
    <row r="15" customFormat="false" ht="15" hidden="false" customHeight="true" outlineLevel="0" collapsed="false">
      <c r="A15" s="1" t="s">
        <v>105</v>
      </c>
      <c r="B15" s="1" t="n">
        <f aca="false">IF(Pertenencia!B15=1,Plan!$I15,0)</f>
        <v>0</v>
      </c>
      <c r="C15" s="1" t="n">
        <f aca="false">IF(Pertenencia!C15=1,Plan!$I15,0)</f>
        <v>0</v>
      </c>
      <c r="D15" s="1" t="n">
        <f aca="false">IF(Pertenencia!D15=1,Plan!$I15,0)</f>
        <v>0</v>
      </c>
      <c r="E15" s="1" t="n">
        <f aca="false">IF(Pertenencia!E15=1,Plan!$I15,0)</f>
        <v>0</v>
      </c>
      <c r="F15" s="1" t="n">
        <f aca="false">IF(Pertenencia!F15=1,Plan!$I15,0)</f>
        <v>2</v>
      </c>
      <c r="G15" s="1" t="n">
        <f aca="false">IF(Pertenencia!G15=1,Plan!$I15,0)</f>
        <v>2</v>
      </c>
      <c r="H15" s="1" t="n">
        <f aca="false">IF(Pertenencia!H15=1,Plan!$I15,0)</f>
        <v>0</v>
      </c>
      <c r="I15" s="1" t="n">
        <f aca="false">IF(Pertenencia!I15=1,Plan!$I15,0)</f>
        <v>0</v>
      </c>
      <c r="J15" s="1" t="n">
        <f aca="false">IF(Pertenencia!J15=1,Plan!$I15,0)</f>
        <v>0</v>
      </c>
      <c r="K15" s="1" t="n">
        <f aca="false">IF(Pertenencia!K15=1,Plan!$I15,0)</f>
        <v>0</v>
      </c>
      <c r="L15" s="1" t="n">
        <f aca="false">IF(Pertenencia!L15=1,Plan!$I15,0)</f>
        <v>0</v>
      </c>
      <c r="M15" s="1" t="n">
        <f aca="false">IF(Pertenencia!M15=1,Plan!$I15,0)</f>
        <v>0</v>
      </c>
    </row>
    <row r="16" customFormat="false" ht="15" hidden="false" customHeight="true" outlineLevel="0" collapsed="false">
      <c r="A16" s="1" t="s">
        <v>109</v>
      </c>
      <c r="B16" s="1" t="n">
        <f aca="false">IF(Pertenencia!B16=1,Plan!$I16,0)</f>
        <v>2</v>
      </c>
      <c r="C16" s="1" t="n">
        <f aca="false">IF(Pertenencia!C16=1,Plan!$I16,0)</f>
        <v>2</v>
      </c>
      <c r="D16" s="1" t="n">
        <f aca="false">IF(Pertenencia!D16=1,Plan!$I16,0)</f>
        <v>0</v>
      </c>
      <c r="E16" s="1" t="n">
        <f aca="false">IF(Pertenencia!E16=1,Plan!$I16,0)</f>
        <v>0</v>
      </c>
      <c r="F16" s="1" t="n">
        <f aca="false">IF(Pertenencia!F16=1,Plan!$I16,0)</f>
        <v>0</v>
      </c>
      <c r="G16" s="1" t="n">
        <f aca="false">IF(Pertenencia!G16=1,Plan!$I16,0)</f>
        <v>2</v>
      </c>
      <c r="H16" s="1" t="n">
        <f aca="false">IF(Pertenencia!H16=1,Plan!$I16,0)</f>
        <v>2</v>
      </c>
      <c r="I16" s="1" t="n">
        <f aca="false">IF(Pertenencia!I16=1,Plan!$I16,0)</f>
        <v>0</v>
      </c>
      <c r="J16" s="1" t="n">
        <f aca="false">IF(Pertenencia!J16=1,Plan!$I16,0)</f>
        <v>0</v>
      </c>
      <c r="K16" s="1" t="n">
        <f aca="false">IF(Pertenencia!K16=1,Plan!$I16,0)</f>
        <v>0</v>
      </c>
      <c r="L16" s="1" t="n">
        <f aca="false">IF(Pertenencia!L16=1,Plan!$I16,0)</f>
        <v>0</v>
      </c>
      <c r="M16" s="1" t="n">
        <f aca="false">IF(Pertenencia!M16=1,Plan!$I16,0)</f>
        <v>0</v>
      </c>
    </row>
    <row r="17" customFormat="false" ht="15" hidden="false" customHeight="true" outlineLevel="0" collapsed="false">
      <c r="A17" s="1" t="s">
        <v>112</v>
      </c>
      <c r="B17" s="1" t="n">
        <f aca="false">IF(Pertenencia!B17=1,Plan!$I17,0)</f>
        <v>2</v>
      </c>
      <c r="C17" s="1" t="n">
        <f aca="false">IF(Pertenencia!C17=1,Plan!$I17,0)</f>
        <v>2</v>
      </c>
      <c r="D17" s="1" t="n">
        <f aca="false">IF(Pertenencia!D17=1,Plan!$I17,0)</f>
        <v>0</v>
      </c>
      <c r="E17" s="1" t="n">
        <f aca="false">IF(Pertenencia!E17=1,Plan!$I17,0)</f>
        <v>0</v>
      </c>
      <c r="F17" s="1" t="n">
        <f aca="false">IF(Pertenencia!F17=1,Plan!$I17,0)</f>
        <v>0</v>
      </c>
      <c r="G17" s="1" t="n">
        <f aca="false">IF(Pertenencia!G17=1,Plan!$I17,0)</f>
        <v>0</v>
      </c>
      <c r="H17" s="1" t="n">
        <f aca="false">IF(Pertenencia!H17=1,Plan!$I17,0)</f>
        <v>2</v>
      </c>
      <c r="I17" s="1" t="n">
        <f aca="false">IF(Pertenencia!I17=1,Plan!$I17,0)</f>
        <v>0</v>
      </c>
      <c r="J17" s="1" t="n">
        <f aca="false">IF(Pertenencia!J17=1,Plan!$I17,0)</f>
        <v>0</v>
      </c>
      <c r="K17" s="1" t="n">
        <f aca="false">IF(Pertenencia!K17=1,Plan!$I17,0)</f>
        <v>0</v>
      </c>
      <c r="L17" s="1" t="n">
        <f aca="false">IF(Pertenencia!L17=1,Plan!$I17,0)</f>
        <v>0</v>
      </c>
      <c r="M17" s="1" t="n">
        <f aca="false">IF(Pertenencia!M17=1,Plan!$I17,0)</f>
        <v>0</v>
      </c>
    </row>
    <row r="18" customFormat="false" ht="15" hidden="false" customHeight="true" outlineLevel="0" collapsed="false">
      <c r="A18" s="1" t="s">
        <v>115</v>
      </c>
      <c r="B18" s="1" t="n">
        <f aca="false">IF(Pertenencia!B18=1,Plan!$I18,0)</f>
        <v>3</v>
      </c>
      <c r="C18" s="1" t="n">
        <f aca="false">IF(Pertenencia!C18=1,Plan!$I18,0)</f>
        <v>3</v>
      </c>
      <c r="D18" s="1" t="n">
        <f aca="false">IF(Pertenencia!D18=1,Plan!$I18,0)</f>
        <v>0</v>
      </c>
      <c r="E18" s="1" t="n">
        <f aca="false">IF(Pertenencia!E18=1,Plan!$I18,0)</f>
        <v>0</v>
      </c>
      <c r="F18" s="1" t="n">
        <f aca="false">IF(Pertenencia!F18=1,Plan!$I18,0)</f>
        <v>0</v>
      </c>
      <c r="G18" s="1" t="n">
        <f aca="false">IF(Pertenencia!G18=1,Plan!$I18,0)</f>
        <v>0</v>
      </c>
      <c r="H18" s="1" t="n">
        <f aca="false">IF(Pertenencia!H18=1,Plan!$I18,0)</f>
        <v>3</v>
      </c>
      <c r="I18" s="1" t="n">
        <f aca="false">IF(Pertenencia!I18=1,Plan!$I18,0)</f>
        <v>0</v>
      </c>
      <c r="J18" s="1" t="n">
        <f aca="false">IF(Pertenencia!J18=1,Plan!$I18,0)</f>
        <v>0</v>
      </c>
      <c r="K18" s="1" t="n">
        <f aca="false">IF(Pertenencia!K18=1,Plan!$I18,0)</f>
        <v>0</v>
      </c>
      <c r="L18" s="1" t="n">
        <f aca="false">IF(Pertenencia!L18=1,Plan!$I18,0)</f>
        <v>0</v>
      </c>
      <c r="M18" s="1" t="n">
        <f aca="false">IF(Pertenencia!M18=1,Plan!$I18,0)</f>
        <v>0</v>
      </c>
    </row>
    <row r="19" customFormat="false" ht="15" hidden="false" customHeight="true" outlineLevel="0" collapsed="false">
      <c r="A19" s="1" t="s">
        <v>119</v>
      </c>
      <c r="B19" s="1" t="n">
        <f aca="false">IF(Pertenencia!B19=1,Plan!$I19,0)</f>
        <v>2</v>
      </c>
      <c r="C19" s="1" t="n">
        <f aca="false">IF(Pertenencia!C19=1,Plan!$I19,0)</f>
        <v>2</v>
      </c>
      <c r="D19" s="1" t="n">
        <f aca="false">IF(Pertenencia!D19=1,Plan!$I19,0)</f>
        <v>0</v>
      </c>
      <c r="E19" s="1" t="n">
        <f aca="false">IF(Pertenencia!E19=1,Plan!$I19,0)</f>
        <v>0</v>
      </c>
      <c r="F19" s="1" t="n">
        <f aca="false">IF(Pertenencia!F19=1,Plan!$I19,0)</f>
        <v>0</v>
      </c>
      <c r="G19" s="1" t="n">
        <f aca="false">IF(Pertenencia!G19=1,Plan!$I19,0)</f>
        <v>0</v>
      </c>
      <c r="H19" s="1" t="n">
        <f aca="false">IF(Pertenencia!H19=1,Plan!$I19,0)</f>
        <v>0</v>
      </c>
      <c r="I19" s="1" t="n">
        <f aca="false">IF(Pertenencia!I19=1,Plan!$I19,0)</f>
        <v>0</v>
      </c>
      <c r="J19" s="1" t="n">
        <f aca="false">IF(Pertenencia!J19=1,Plan!$I19,0)</f>
        <v>0</v>
      </c>
      <c r="K19" s="1" t="n">
        <f aca="false">IF(Pertenencia!K19=1,Plan!$I19,0)</f>
        <v>0</v>
      </c>
      <c r="L19" s="1" t="n">
        <f aca="false">IF(Pertenencia!L19=1,Plan!$I19,0)</f>
        <v>0</v>
      </c>
      <c r="M19" s="1" t="n">
        <f aca="false">IF(Pertenencia!M19=1,Plan!$I19,0)</f>
        <v>0</v>
      </c>
    </row>
    <row r="20" customFormat="false" ht="15" hidden="false" customHeight="true" outlineLevel="0" collapsed="false">
      <c r="A20" s="1" t="s">
        <v>123</v>
      </c>
      <c r="B20" s="1" t="n">
        <f aca="false">IF(Pertenencia!B20=1,Plan!$I20,0)</f>
        <v>2</v>
      </c>
      <c r="C20" s="1" t="n">
        <f aca="false">IF(Pertenencia!C20=1,Plan!$I20,0)</f>
        <v>0</v>
      </c>
      <c r="D20" s="1" t="n">
        <f aca="false">IF(Pertenencia!D20=1,Plan!$I20,0)</f>
        <v>0</v>
      </c>
      <c r="E20" s="1" t="n">
        <f aca="false">IF(Pertenencia!E20=1,Plan!$I20,0)</f>
        <v>0</v>
      </c>
      <c r="F20" s="1" t="n">
        <f aca="false">IF(Pertenencia!F20=1,Plan!$I20,0)</f>
        <v>0</v>
      </c>
      <c r="G20" s="1" t="n">
        <f aca="false">IF(Pertenencia!G20=1,Plan!$I20,0)</f>
        <v>0</v>
      </c>
      <c r="H20" s="1" t="n">
        <f aca="false">IF(Pertenencia!H20=1,Plan!$I20,0)</f>
        <v>0</v>
      </c>
      <c r="I20" s="1" t="n">
        <f aca="false">IF(Pertenencia!I20=1,Plan!$I20,0)</f>
        <v>0</v>
      </c>
      <c r="J20" s="1" t="n">
        <f aca="false">IF(Pertenencia!J20=1,Plan!$I20,0)</f>
        <v>0</v>
      </c>
      <c r="K20" s="1" t="n">
        <f aca="false">IF(Pertenencia!K20=1,Plan!$I20,0)</f>
        <v>0</v>
      </c>
      <c r="L20" s="1" t="n">
        <f aca="false">IF(Pertenencia!L20=1,Plan!$I20,0)</f>
        <v>0</v>
      </c>
      <c r="M20" s="1" t="n">
        <f aca="false">IF(Pertenencia!M20=1,Plan!$I20,0)</f>
        <v>0</v>
      </c>
    </row>
    <row r="21" customFormat="false" ht="15" hidden="false" customHeight="true" outlineLevel="0" collapsed="false">
      <c r="A21" s="1" t="s">
        <v>127</v>
      </c>
      <c r="B21" s="1" t="n">
        <f aca="false">IF(Pertenencia!B21=1,Plan!$I21,0)</f>
        <v>2</v>
      </c>
      <c r="C21" s="1" t="n">
        <f aca="false">IF(Pertenencia!C21=1,Plan!$I21,0)</f>
        <v>0</v>
      </c>
      <c r="D21" s="1" t="n">
        <f aca="false">IF(Pertenencia!D21=1,Plan!$I21,0)</f>
        <v>0</v>
      </c>
      <c r="E21" s="1" t="n">
        <f aca="false">IF(Pertenencia!E21=1,Plan!$I21,0)</f>
        <v>0</v>
      </c>
      <c r="F21" s="1" t="n">
        <f aca="false">IF(Pertenencia!F21=1,Plan!$I21,0)</f>
        <v>0</v>
      </c>
      <c r="G21" s="1" t="n">
        <f aca="false">IF(Pertenencia!G21=1,Plan!$I21,0)</f>
        <v>2</v>
      </c>
      <c r="H21" s="1" t="n">
        <f aca="false">IF(Pertenencia!H21=1,Plan!$I21,0)</f>
        <v>2</v>
      </c>
      <c r="I21" s="1" t="n">
        <f aca="false">IF(Pertenencia!I21=1,Plan!$I21,0)</f>
        <v>0</v>
      </c>
      <c r="J21" s="1" t="n">
        <f aca="false">IF(Pertenencia!J21=1,Plan!$I21,0)</f>
        <v>0</v>
      </c>
      <c r="K21" s="1" t="n">
        <f aca="false">IF(Pertenencia!K21=1,Plan!$I21,0)</f>
        <v>0</v>
      </c>
      <c r="L21" s="1" t="n">
        <f aca="false">IF(Pertenencia!L21=1,Plan!$I21,0)</f>
        <v>0</v>
      </c>
      <c r="M21" s="1" t="n">
        <f aca="false">IF(Pertenencia!M21=1,Plan!$I21,0)</f>
        <v>0</v>
      </c>
    </row>
    <row r="22" customFormat="false" ht="15" hidden="false" customHeight="true" outlineLevel="0" collapsed="false">
      <c r="A22" s="1" t="s">
        <v>130</v>
      </c>
      <c r="B22" s="1" t="n">
        <f aca="false">IF(Pertenencia!B22=1,Plan!$I22,0)</f>
        <v>3</v>
      </c>
      <c r="C22" s="1" t="n">
        <f aca="false">IF(Pertenencia!C22=1,Plan!$I22,0)</f>
        <v>0</v>
      </c>
      <c r="D22" s="1" t="n">
        <f aca="false">IF(Pertenencia!D22=1,Plan!$I22,0)</f>
        <v>0</v>
      </c>
      <c r="E22" s="1" t="n">
        <f aca="false">IF(Pertenencia!E22=1,Plan!$I22,0)</f>
        <v>0</v>
      </c>
      <c r="F22" s="1" t="n">
        <f aca="false">IF(Pertenencia!F22=1,Plan!$I22,0)</f>
        <v>0</v>
      </c>
      <c r="G22" s="1" t="n">
        <f aca="false">IF(Pertenencia!G22=1,Plan!$I22,0)</f>
        <v>3</v>
      </c>
      <c r="H22" s="1" t="n">
        <f aca="false">IF(Pertenencia!H22=1,Plan!$I22,0)</f>
        <v>0</v>
      </c>
      <c r="I22" s="1" t="n">
        <f aca="false">IF(Pertenencia!I22=1,Plan!$I22,0)</f>
        <v>0</v>
      </c>
      <c r="J22" s="1" t="n">
        <f aca="false">IF(Pertenencia!J22=1,Plan!$I22,0)</f>
        <v>0</v>
      </c>
      <c r="K22" s="1" t="n">
        <f aca="false">IF(Pertenencia!K22=1,Plan!$I22,0)</f>
        <v>0</v>
      </c>
      <c r="L22" s="1" t="n">
        <f aca="false">IF(Pertenencia!L22=1,Plan!$I22,0)</f>
        <v>0</v>
      </c>
      <c r="M22" s="1" t="n">
        <f aca="false">IF(Pertenencia!M22=1,Plan!$I22,0)</f>
        <v>0</v>
      </c>
    </row>
    <row r="23" customFormat="false" ht="15" hidden="false" customHeight="true" outlineLevel="0" collapsed="false">
      <c r="A23" s="1" t="s">
        <v>134</v>
      </c>
      <c r="B23" s="1" t="n">
        <f aca="false">IF(Pertenencia!B23=1,Plan!$I23,0)</f>
        <v>0</v>
      </c>
      <c r="C23" s="1" t="n">
        <f aca="false">IF(Pertenencia!C23=1,Plan!$I23,0)</f>
        <v>0</v>
      </c>
      <c r="D23" s="1" t="n">
        <f aca="false">IF(Pertenencia!D23=1,Plan!$I23,0)</f>
        <v>0</v>
      </c>
      <c r="E23" s="1" t="n">
        <f aca="false">IF(Pertenencia!E23=1,Plan!$I23,0)</f>
        <v>0</v>
      </c>
      <c r="F23" s="1" t="n">
        <f aca="false">IF(Pertenencia!F23=1,Plan!$I23,0)</f>
        <v>0</v>
      </c>
      <c r="G23" s="1" t="n">
        <f aca="false">IF(Pertenencia!G23=1,Plan!$I23,0)</f>
        <v>2</v>
      </c>
      <c r="H23" s="1" t="n">
        <f aca="false">IF(Pertenencia!H23=1,Plan!$I23,0)</f>
        <v>2</v>
      </c>
      <c r="I23" s="1" t="n">
        <f aca="false">IF(Pertenencia!I23=1,Plan!$I23,0)</f>
        <v>0</v>
      </c>
      <c r="J23" s="1" t="n">
        <f aca="false">IF(Pertenencia!J23=1,Plan!$I23,0)</f>
        <v>0</v>
      </c>
      <c r="K23" s="1" t="n">
        <f aca="false">IF(Pertenencia!K23=1,Plan!$I23,0)</f>
        <v>0</v>
      </c>
      <c r="L23" s="1" t="n">
        <f aca="false">IF(Pertenencia!L23=1,Plan!$I23,0)</f>
        <v>0</v>
      </c>
      <c r="M23" s="1" t="n">
        <f aca="false">IF(Pertenencia!M23=1,Plan!$I23,0)</f>
        <v>0</v>
      </c>
    </row>
    <row r="24" customFormat="false" ht="15" hidden="false" customHeight="true" outlineLevel="0" collapsed="false">
      <c r="A24" s="1" t="s">
        <v>138</v>
      </c>
      <c r="B24" s="1" t="n">
        <f aca="false">IF(Pertenencia!B24=1,Plan!$I24,0)</f>
        <v>2</v>
      </c>
      <c r="C24" s="1" t="n">
        <f aca="false">IF(Pertenencia!C24=1,Plan!$I24,0)</f>
        <v>2</v>
      </c>
      <c r="D24" s="1" t="n">
        <f aca="false">IF(Pertenencia!D24=1,Plan!$I24,0)</f>
        <v>2</v>
      </c>
      <c r="E24" s="1" t="n">
        <f aca="false">IF(Pertenencia!E24=1,Plan!$I24,0)</f>
        <v>2</v>
      </c>
      <c r="F24" s="1" t="n">
        <f aca="false">IF(Pertenencia!F24=1,Plan!$I24,0)</f>
        <v>2</v>
      </c>
      <c r="G24" s="1" t="n">
        <f aca="false">IF(Pertenencia!G24=1,Plan!$I24,0)</f>
        <v>2</v>
      </c>
      <c r="H24" s="1" t="n">
        <f aca="false">IF(Pertenencia!H24=1,Plan!$I24,0)</f>
        <v>2</v>
      </c>
      <c r="I24" s="1" t="n">
        <f aca="false">IF(Pertenencia!I24=1,Plan!$I24,0)</f>
        <v>2</v>
      </c>
      <c r="J24" s="1" t="n">
        <f aca="false">IF(Pertenencia!J24=1,Plan!$I24,0)</f>
        <v>0</v>
      </c>
      <c r="K24" s="1" t="n">
        <f aca="false">IF(Pertenencia!K24=1,Plan!$I24,0)</f>
        <v>0</v>
      </c>
      <c r="L24" s="1" t="n">
        <f aca="false">IF(Pertenencia!L24=1,Plan!$I24,0)</f>
        <v>0</v>
      </c>
      <c r="M24" s="1" t="n">
        <f aca="false">IF(Pertenencia!M24=1,Plan!$I24,0)</f>
        <v>0</v>
      </c>
    </row>
    <row r="25" customFormat="false" ht="15" hidden="false" customHeight="true" outlineLevel="0" collapsed="false">
      <c r="A25" s="1" t="s">
        <v>141</v>
      </c>
      <c r="B25" s="1" t="n">
        <f aca="false">IF(Pertenencia!B25=1,Plan!$I25,0)</f>
        <v>3</v>
      </c>
      <c r="C25" s="1" t="n">
        <f aca="false">IF(Pertenencia!C25=1,Plan!$I25,0)</f>
        <v>0</v>
      </c>
      <c r="D25" s="1" t="n">
        <f aca="false">IF(Pertenencia!D25=1,Plan!$I25,0)</f>
        <v>0</v>
      </c>
      <c r="E25" s="1" t="n">
        <f aca="false">IF(Pertenencia!E25=1,Plan!$I25,0)</f>
        <v>0</v>
      </c>
      <c r="F25" s="1" t="n">
        <f aca="false">IF(Pertenencia!F25=1,Plan!$I25,0)</f>
        <v>0</v>
      </c>
      <c r="G25" s="1" t="n">
        <f aca="false">IF(Pertenencia!G25=1,Plan!$I25,0)</f>
        <v>0</v>
      </c>
      <c r="H25" s="1" t="n">
        <f aca="false">IF(Pertenencia!H25=1,Plan!$I25,0)</f>
        <v>3</v>
      </c>
      <c r="I25" s="1" t="n">
        <f aca="false">IF(Pertenencia!I25=1,Plan!$I25,0)</f>
        <v>3</v>
      </c>
      <c r="J25" s="1" t="n">
        <f aca="false">IF(Pertenencia!J25=1,Plan!$I25,0)</f>
        <v>0</v>
      </c>
      <c r="K25" s="1" t="n">
        <f aca="false">IF(Pertenencia!K25=1,Plan!$I25,0)</f>
        <v>0</v>
      </c>
      <c r="L25" s="1" t="n">
        <f aca="false">IF(Pertenencia!L25=1,Plan!$I25,0)</f>
        <v>0</v>
      </c>
      <c r="M25" s="1" t="n">
        <f aca="false">IF(Pertenencia!M25=1,Plan!$I25,0)</f>
        <v>0</v>
      </c>
    </row>
    <row r="26" customFormat="false" ht="15" hidden="false" customHeight="true" outlineLevel="0" collapsed="false">
      <c r="A26" s="1" t="s">
        <v>144</v>
      </c>
      <c r="B26" s="1" t="n">
        <f aca="false">IF(Pertenencia!B26=1,Plan!$I26,0)</f>
        <v>3</v>
      </c>
      <c r="C26" s="1" t="n">
        <f aca="false">IF(Pertenencia!C26=1,Plan!$I26,0)</f>
        <v>0</v>
      </c>
      <c r="D26" s="1" t="n">
        <f aca="false">IF(Pertenencia!D26=1,Plan!$I26,0)</f>
        <v>0</v>
      </c>
      <c r="E26" s="1" t="n">
        <f aca="false">IF(Pertenencia!E26=1,Plan!$I26,0)</f>
        <v>0</v>
      </c>
      <c r="F26" s="1" t="n">
        <f aca="false">IF(Pertenencia!F26=1,Plan!$I26,0)</f>
        <v>0</v>
      </c>
      <c r="G26" s="1" t="n">
        <f aca="false">IF(Pertenencia!G26=1,Plan!$I26,0)</f>
        <v>0</v>
      </c>
      <c r="H26" s="1" t="n">
        <f aca="false">IF(Pertenencia!H26=1,Plan!$I26,0)</f>
        <v>3</v>
      </c>
      <c r="I26" s="1" t="n">
        <f aca="false">IF(Pertenencia!I26=1,Plan!$I26,0)</f>
        <v>3</v>
      </c>
      <c r="J26" s="1" t="n">
        <f aca="false">IF(Pertenencia!J26=1,Plan!$I26,0)</f>
        <v>0</v>
      </c>
      <c r="K26" s="1" t="n">
        <f aca="false">IF(Pertenencia!K26=1,Plan!$I26,0)</f>
        <v>0</v>
      </c>
      <c r="L26" s="1" t="n">
        <f aca="false">IF(Pertenencia!L26=1,Plan!$I26,0)</f>
        <v>0</v>
      </c>
      <c r="M26" s="1" t="n">
        <f aca="false">IF(Pertenencia!M26=1,Plan!$I26,0)</f>
        <v>0</v>
      </c>
    </row>
    <row r="27" customFormat="false" ht="15" hidden="false" customHeight="true" outlineLevel="0" collapsed="false">
      <c r="A27" s="1" t="s">
        <v>148</v>
      </c>
      <c r="B27" s="1" t="n">
        <f aca="false">IF(Pertenencia!B27=1,Plan!$I27,0)</f>
        <v>3</v>
      </c>
      <c r="C27" s="1" t="n">
        <f aca="false">IF(Pertenencia!C27=1,Plan!$I27,0)</f>
        <v>0</v>
      </c>
      <c r="D27" s="1" t="n">
        <f aca="false">IF(Pertenencia!D27=1,Plan!$I27,0)</f>
        <v>0</v>
      </c>
      <c r="E27" s="1" t="n">
        <f aca="false">IF(Pertenencia!E27=1,Plan!$I27,0)</f>
        <v>0</v>
      </c>
      <c r="F27" s="1" t="n">
        <f aca="false">IF(Pertenencia!F27=1,Plan!$I27,0)</f>
        <v>0</v>
      </c>
      <c r="G27" s="1" t="n">
        <f aca="false">IF(Pertenencia!G27=1,Plan!$I27,0)</f>
        <v>0</v>
      </c>
      <c r="H27" s="1" t="n">
        <f aca="false">IF(Pertenencia!H27=1,Plan!$I27,0)</f>
        <v>3</v>
      </c>
      <c r="I27" s="1" t="n">
        <f aca="false">IF(Pertenencia!I27=1,Plan!$I27,0)</f>
        <v>3</v>
      </c>
      <c r="J27" s="1" t="n">
        <f aca="false">IF(Pertenencia!J27=1,Plan!$I27,0)</f>
        <v>0</v>
      </c>
      <c r="K27" s="1" t="n">
        <f aca="false">IF(Pertenencia!K27=1,Plan!$I27,0)</f>
        <v>0</v>
      </c>
      <c r="L27" s="1" t="n">
        <f aca="false">IF(Pertenencia!L27=1,Plan!$I27,0)</f>
        <v>0</v>
      </c>
      <c r="M27" s="1" t="n">
        <f aca="false">IF(Pertenencia!M27=1,Plan!$I27,0)</f>
        <v>0</v>
      </c>
    </row>
    <row r="28" customFormat="false" ht="15" hidden="false" customHeight="true" outlineLevel="0" collapsed="false">
      <c r="A28" s="1" t="s">
        <v>152</v>
      </c>
      <c r="B28" s="1" t="n">
        <f aca="false">IF(Pertenencia!B28=1,Plan!$I28,0)</f>
        <v>0</v>
      </c>
      <c r="C28" s="1" t="n">
        <f aca="false">IF(Pertenencia!C28=1,Plan!$I28,0)</f>
        <v>0</v>
      </c>
      <c r="D28" s="1" t="n">
        <f aca="false">IF(Pertenencia!D28=1,Plan!$I28,0)</f>
        <v>0</v>
      </c>
      <c r="E28" s="1" t="n">
        <f aca="false">IF(Pertenencia!E28=1,Plan!$I28,0)</f>
        <v>0</v>
      </c>
      <c r="F28" s="1" t="n">
        <f aca="false">IF(Pertenencia!F28=1,Plan!$I28,0)</f>
        <v>0</v>
      </c>
      <c r="G28" s="1" t="n">
        <f aca="false">IF(Pertenencia!G28=1,Plan!$I28,0)</f>
        <v>0</v>
      </c>
      <c r="H28" s="1" t="n">
        <f aca="false">IF(Pertenencia!H28=1,Plan!$I28,0)</f>
        <v>3</v>
      </c>
      <c r="I28" s="1" t="n">
        <f aca="false">IF(Pertenencia!I28=1,Plan!$I28,0)</f>
        <v>3</v>
      </c>
      <c r="J28" s="1" t="n">
        <f aca="false">IF(Pertenencia!J28=1,Plan!$I28,0)</f>
        <v>0</v>
      </c>
      <c r="K28" s="1" t="n">
        <f aca="false">IF(Pertenencia!K28=1,Plan!$I28,0)</f>
        <v>0</v>
      </c>
      <c r="L28" s="1" t="n">
        <f aca="false">IF(Pertenencia!L28=1,Plan!$I28,0)</f>
        <v>0</v>
      </c>
      <c r="M28" s="1" t="n">
        <f aca="false">IF(Pertenencia!M28=1,Plan!$I28,0)</f>
        <v>0</v>
      </c>
    </row>
    <row r="29" customFormat="false" ht="15" hidden="false" customHeight="true" outlineLevel="0" collapsed="false">
      <c r="A29" s="1" t="s">
        <v>155</v>
      </c>
      <c r="B29" s="1" t="n">
        <f aca="false">IF(Pertenencia!B29=1,Plan!$I29,0)</f>
        <v>2</v>
      </c>
      <c r="C29" s="1" t="n">
        <f aca="false">IF(Pertenencia!C29=1,Plan!$I29,0)</f>
        <v>2</v>
      </c>
      <c r="D29" s="1" t="n">
        <f aca="false">IF(Pertenencia!D29=1,Plan!$I29,0)</f>
        <v>0</v>
      </c>
      <c r="E29" s="1" t="n">
        <f aca="false">IF(Pertenencia!E29=1,Plan!$I29,0)</f>
        <v>0</v>
      </c>
      <c r="F29" s="1" t="n">
        <f aca="false">IF(Pertenencia!F29=1,Plan!$I29,0)</f>
        <v>0</v>
      </c>
      <c r="G29" s="1" t="n">
        <f aca="false">IF(Pertenencia!G29=1,Plan!$I29,0)</f>
        <v>2</v>
      </c>
      <c r="H29" s="1" t="n">
        <f aca="false">IF(Pertenencia!H29=1,Plan!$I29,0)</f>
        <v>2</v>
      </c>
      <c r="I29" s="1" t="n">
        <f aca="false">IF(Pertenencia!I29=1,Plan!$I29,0)</f>
        <v>2</v>
      </c>
      <c r="J29" s="1" t="n">
        <f aca="false">IF(Pertenencia!J29=1,Plan!$I29,0)</f>
        <v>0</v>
      </c>
      <c r="K29" s="1" t="n">
        <f aca="false">IF(Pertenencia!K29=1,Plan!$I29,0)</f>
        <v>0</v>
      </c>
      <c r="L29" s="1" t="n">
        <f aca="false">IF(Pertenencia!L29=1,Plan!$I29,0)</f>
        <v>0</v>
      </c>
      <c r="M29" s="1" t="n">
        <f aca="false">IF(Pertenencia!M29=1,Plan!$I29,0)</f>
        <v>0</v>
      </c>
    </row>
    <row r="30" customFormat="false" ht="15" hidden="false" customHeight="true" outlineLevel="0" collapsed="false">
      <c r="A30" s="1" t="s">
        <v>158</v>
      </c>
      <c r="B30" s="1" t="n">
        <f aca="false">IF(Pertenencia!B30=1,Plan!$I30,0)</f>
        <v>3</v>
      </c>
      <c r="C30" s="1" t="n">
        <f aca="false">IF(Pertenencia!C30=1,Plan!$I30,0)</f>
        <v>0</v>
      </c>
      <c r="D30" s="1" t="n">
        <f aca="false">IF(Pertenencia!D30=1,Plan!$I30,0)</f>
        <v>0</v>
      </c>
      <c r="E30" s="1" t="n">
        <f aca="false">IF(Pertenencia!E30=1,Plan!$I30,0)</f>
        <v>0</v>
      </c>
      <c r="F30" s="1" t="n">
        <f aca="false">IF(Pertenencia!F30=1,Plan!$I30,0)</f>
        <v>0</v>
      </c>
      <c r="G30" s="1" t="n">
        <f aca="false">IF(Pertenencia!G30=1,Plan!$I30,0)</f>
        <v>0</v>
      </c>
      <c r="H30" s="1" t="n">
        <f aca="false">IF(Pertenencia!H30=1,Plan!$I30,0)</f>
        <v>3</v>
      </c>
      <c r="I30" s="1" t="n">
        <f aca="false">IF(Pertenencia!I30=1,Plan!$I30,0)</f>
        <v>3</v>
      </c>
      <c r="J30" s="1" t="n">
        <f aca="false">IF(Pertenencia!J30=1,Plan!$I30,0)</f>
        <v>0</v>
      </c>
      <c r="K30" s="1" t="n">
        <f aca="false">IF(Pertenencia!K30=1,Plan!$I30,0)</f>
        <v>0</v>
      </c>
      <c r="L30" s="1" t="n">
        <f aca="false">IF(Pertenencia!L30=1,Plan!$I30,0)</f>
        <v>0</v>
      </c>
      <c r="M30" s="1" t="n">
        <f aca="false">IF(Pertenencia!M30=1,Plan!$I30,0)</f>
        <v>0</v>
      </c>
    </row>
    <row r="31" customFormat="false" ht="15" hidden="false" customHeight="true" outlineLevel="0" collapsed="false">
      <c r="A31" s="1" t="s">
        <v>162</v>
      </c>
      <c r="B31" s="1" t="n">
        <f aca="false">IF(Pertenencia!B31=1,Plan!$I31,0)</f>
        <v>2</v>
      </c>
      <c r="C31" s="1" t="n">
        <f aca="false">IF(Pertenencia!C31=1,Plan!$I31,0)</f>
        <v>2</v>
      </c>
      <c r="D31" s="1" t="n">
        <f aca="false">IF(Pertenencia!D31=1,Plan!$I31,0)</f>
        <v>0</v>
      </c>
      <c r="E31" s="1" t="n">
        <f aca="false">IF(Pertenencia!E31=1,Plan!$I31,0)</f>
        <v>0</v>
      </c>
      <c r="F31" s="1" t="n">
        <f aca="false">IF(Pertenencia!F31=1,Plan!$I31,0)</f>
        <v>0</v>
      </c>
      <c r="G31" s="1" t="n">
        <f aca="false">IF(Pertenencia!G31=1,Plan!$I31,0)</f>
        <v>0</v>
      </c>
      <c r="H31" s="1" t="n">
        <f aca="false">IF(Pertenencia!H31=1,Plan!$I31,0)</f>
        <v>0</v>
      </c>
      <c r="I31" s="1" t="n">
        <f aca="false">IF(Pertenencia!I31=1,Plan!$I31,0)</f>
        <v>2</v>
      </c>
      <c r="J31" s="1" t="n">
        <f aca="false">IF(Pertenencia!J31=1,Plan!$I31,0)</f>
        <v>0</v>
      </c>
      <c r="K31" s="1" t="n">
        <f aca="false">IF(Pertenencia!K31=1,Plan!$I31,0)</f>
        <v>0</v>
      </c>
      <c r="L31" s="1" t="n">
        <f aca="false">IF(Pertenencia!L31=1,Plan!$I31,0)</f>
        <v>0</v>
      </c>
      <c r="M31" s="1" t="n">
        <f aca="false">IF(Pertenencia!M31=1,Plan!$I31,0)</f>
        <v>0</v>
      </c>
    </row>
    <row r="32" customFormat="false" ht="15" hidden="false" customHeight="true" outlineLevel="0" collapsed="false">
      <c r="A32" s="1" t="s">
        <v>166</v>
      </c>
      <c r="B32" s="1" t="n">
        <f aca="false">IF(Pertenencia!B32=1,Plan!$I32,0)</f>
        <v>2</v>
      </c>
      <c r="C32" s="1" t="n">
        <f aca="false">IF(Pertenencia!C32=1,Plan!$I32,0)</f>
        <v>0</v>
      </c>
      <c r="D32" s="1" t="n">
        <f aca="false">IF(Pertenencia!D32=1,Plan!$I32,0)</f>
        <v>0</v>
      </c>
      <c r="E32" s="1" t="n">
        <f aca="false">IF(Pertenencia!E32=1,Plan!$I32,0)</f>
        <v>0</v>
      </c>
      <c r="F32" s="1" t="n">
        <f aca="false">IF(Pertenencia!F32=1,Plan!$I32,0)</f>
        <v>0</v>
      </c>
      <c r="G32" s="1" t="n">
        <f aca="false">IF(Pertenencia!G32=1,Plan!$I32,0)</f>
        <v>0</v>
      </c>
      <c r="H32" s="1" t="n">
        <f aca="false">IF(Pertenencia!H32=1,Plan!$I32,0)</f>
        <v>2</v>
      </c>
      <c r="I32" s="1" t="n">
        <f aca="false">IF(Pertenencia!I32=1,Plan!$I32,0)</f>
        <v>2</v>
      </c>
      <c r="J32" s="1" t="n">
        <f aca="false">IF(Pertenencia!J32=1,Plan!$I32,0)</f>
        <v>0</v>
      </c>
      <c r="K32" s="1" t="n">
        <f aca="false">IF(Pertenencia!K32=1,Plan!$I32,0)</f>
        <v>0</v>
      </c>
      <c r="L32" s="1" t="n">
        <f aca="false">IF(Pertenencia!L32=1,Plan!$I32,0)</f>
        <v>0</v>
      </c>
      <c r="M32" s="1" t="n">
        <f aca="false">IF(Pertenencia!M32=1,Plan!$I32,0)</f>
        <v>0</v>
      </c>
    </row>
    <row r="33" customFormat="false" ht="15" hidden="false" customHeight="true" outlineLevel="0" collapsed="false">
      <c r="A33" s="1" t="s">
        <v>170</v>
      </c>
      <c r="B33" s="1" t="n">
        <f aca="false">IF(Pertenencia!B33=1,Plan!$I33,0)</f>
        <v>2</v>
      </c>
      <c r="C33" s="1" t="n">
        <f aca="false">IF(Pertenencia!C33=1,Plan!$I33,0)</f>
        <v>0</v>
      </c>
      <c r="D33" s="1" t="n">
        <f aca="false">IF(Pertenencia!D33=1,Plan!$I33,0)</f>
        <v>0</v>
      </c>
      <c r="E33" s="1" t="n">
        <f aca="false">IF(Pertenencia!E33=1,Plan!$I33,0)</f>
        <v>0</v>
      </c>
      <c r="F33" s="1" t="n">
        <f aca="false">IF(Pertenencia!F33=1,Plan!$I33,0)</f>
        <v>0</v>
      </c>
      <c r="G33" s="1" t="n">
        <f aca="false">IF(Pertenencia!G33=1,Plan!$I33,0)</f>
        <v>0</v>
      </c>
      <c r="H33" s="1" t="n">
        <f aca="false">IF(Pertenencia!H33=1,Plan!$I33,0)</f>
        <v>0</v>
      </c>
      <c r="I33" s="1" t="n">
        <f aca="false">IF(Pertenencia!I33=1,Plan!$I33,0)</f>
        <v>2</v>
      </c>
      <c r="J33" s="1" t="n">
        <f aca="false">IF(Pertenencia!J33=1,Plan!$I33,0)</f>
        <v>0</v>
      </c>
      <c r="K33" s="1" t="n">
        <f aca="false">IF(Pertenencia!K33=1,Plan!$I33,0)</f>
        <v>0</v>
      </c>
      <c r="L33" s="1" t="n">
        <f aca="false">IF(Pertenencia!L33=1,Plan!$I33,0)</f>
        <v>0</v>
      </c>
      <c r="M33" s="1" t="n">
        <f aca="false">IF(Pertenencia!M33=1,Plan!$I33,0)</f>
        <v>0</v>
      </c>
    </row>
    <row r="34" customFormat="false" ht="15" hidden="false" customHeight="true" outlineLevel="0" collapsed="false">
      <c r="A34" s="1" t="s">
        <v>174</v>
      </c>
      <c r="B34" s="1" t="n">
        <f aca="false">IF(Pertenencia!B34=1,Plan!$I34,0)</f>
        <v>2</v>
      </c>
      <c r="C34" s="1" t="n">
        <f aca="false">IF(Pertenencia!C34=1,Plan!$I34,0)</f>
        <v>0</v>
      </c>
      <c r="D34" s="1" t="n">
        <f aca="false">IF(Pertenencia!D34=1,Plan!$I34,0)</f>
        <v>0</v>
      </c>
      <c r="E34" s="1" t="n">
        <f aca="false">IF(Pertenencia!E34=1,Plan!$I34,0)</f>
        <v>0</v>
      </c>
      <c r="F34" s="1" t="n">
        <f aca="false">IF(Pertenencia!F34=1,Plan!$I34,0)</f>
        <v>0</v>
      </c>
      <c r="G34" s="1" t="n">
        <f aca="false">IF(Pertenencia!G34=1,Plan!$I34,0)</f>
        <v>0</v>
      </c>
      <c r="H34" s="1" t="n">
        <f aca="false">IF(Pertenencia!H34=1,Plan!$I34,0)</f>
        <v>0</v>
      </c>
      <c r="I34" s="1" t="n">
        <f aca="false">IF(Pertenencia!I34=1,Plan!$I34,0)</f>
        <v>2</v>
      </c>
      <c r="J34" s="1" t="n">
        <f aca="false">IF(Pertenencia!J34=1,Plan!$I34,0)</f>
        <v>0</v>
      </c>
      <c r="K34" s="1" t="n">
        <f aca="false">IF(Pertenencia!K34=1,Plan!$I34,0)</f>
        <v>0</v>
      </c>
      <c r="L34" s="1" t="n">
        <f aca="false">IF(Pertenencia!L34=1,Plan!$I34,0)</f>
        <v>0</v>
      </c>
      <c r="M34" s="1" t="n">
        <f aca="false">IF(Pertenencia!M34=1,Plan!$I34,0)</f>
        <v>0</v>
      </c>
    </row>
    <row r="35" customFormat="false" ht="15" hidden="false" customHeight="true" outlineLevel="0" collapsed="false">
      <c r="A35" s="1" t="s">
        <v>178</v>
      </c>
      <c r="B35" s="1" t="n">
        <f aca="false">IF(Pertenencia!B35=1,Plan!$I35,0)</f>
        <v>3</v>
      </c>
      <c r="C35" s="1" t="n">
        <f aca="false">IF(Pertenencia!C35=1,Plan!$I35,0)</f>
        <v>0</v>
      </c>
      <c r="D35" s="1" t="n">
        <f aca="false">IF(Pertenencia!D35=1,Plan!$I35,0)</f>
        <v>0</v>
      </c>
      <c r="E35" s="1" t="n">
        <f aca="false">IF(Pertenencia!E35=1,Plan!$I35,0)</f>
        <v>0</v>
      </c>
      <c r="F35" s="1" t="n">
        <f aca="false">IF(Pertenencia!F35=1,Plan!$I35,0)</f>
        <v>0</v>
      </c>
      <c r="G35" s="1" t="n">
        <f aca="false">IF(Pertenencia!G35=1,Plan!$I35,0)</f>
        <v>0</v>
      </c>
      <c r="H35" s="1" t="n">
        <f aca="false">IF(Pertenencia!H35=1,Plan!$I35,0)</f>
        <v>0</v>
      </c>
      <c r="I35" s="1" t="n">
        <f aca="false">IF(Pertenencia!I35=1,Plan!$I35,0)</f>
        <v>3</v>
      </c>
      <c r="J35" s="1" t="n">
        <f aca="false">IF(Pertenencia!J35=1,Plan!$I35,0)</f>
        <v>0</v>
      </c>
      <c r="K35" s="1" t="n">
        <f aca="false">IF(Pertenencia!K35=1,Plan!$I35,0)</f>
        <v>0</v>
      </c>
      <c r="L35" s="1" t="n">
        <f aca="false">IF(Pertenencia!L35=1,Plan!$I35,0)</f>
        <v>0</v>
      </c>
      <c r="M35" s="1" t="n">
        <f aca="false">IF(Pertenencia!M35=1,Plan!$I35,0)</f>
        <v>0</v>
      </c>
    </row>
    <row r="36" customFormat="false" ht="15" hidden="false" customHeight="true" outlineLevel="0" collapsed="false">
      <c r="A36" s="1" t="s">
        <v>182</v>
      </c>
      <c r="B36" s="1" t="n">
        <f aca="false">IF(Pertenencia!B36=1,Plan!$I36,0)</f>
        <v>2</v>
      </c>
      <c r="C36" s="1" t="n">
        <f aca="false">IF(Pertenencia!C36=1,Plan!$I36,0)</f>
        <v>0</v>
      </c>
      <c r="D36" s="1" t="n">
        <f aca="false">IF(Pertenencia!D36=1,Plan!$I36,0)</f>
        <v>0</v>
      </c>
      <c r="E36" s="1" t="n">
        <f aca="false">IF(Pertenencia!E36=1,Plan!$I36,0)</f>
        <v>0</v>
      </c>
      <c r="F36" s="1" t="n">
        <f aca="false">IF(Pertenencia!F36=1,Plan!$I36,0)</f>
        <v>0</v>
      </c>
      <c r="G36" s="1" t="n">
        <f aca="false">IF(Pertenencia!G36=1,Plan!$I36,0)</f>
        <v>0</v>
      </c>
      <c r="H36" s="1" t="n">
        <f aca="false">IF(Pertenencia!H36=1,Plan!$I36,0)</f>
        <v>2</v>
      </c>
      <c r="I36" s="1" t="n">
        <f aca="false">IF(Pertenencia!I36=1,Plan!$I36,0)</f>
        <v>2</v>
      </c>
      <c r="J36" s="1" t="n">
        <f aca="false">IF(Pertenencia!J36=1,Plan!$I36,0)</f>
        <v>0</v>
      </c>
      <c r="K36" s="1" t="n">
        <f aca="false">IF(Pertenencia!K36=1,Plan!$I36,0)</f>
        <v>0</v>
      </c>
      <c r="L36" s="1" t="n">
        <f aca="false">IF(Pertenencia!L36=1,Plan!$I36,0)</f>
        <v>0</v>
      </c>
      <c r="M36" s="1" t="n">
        <f aca="false">IF(Pertenencia!M36=1,Plan!$I36,0)</f>
        <v>0</v>
      </c>
    </row>
    <row r="37" customFormat="false" ht="15" hidden="false" customHeight="true" outlineLevel="0" collapsed="false">
      <c r="A37" s="1" t="s">
        <v>186</v>
      </c>
      <c r="B37" s="1" t="n">
        <f aca="false">IF(Pertenencia!B37=1,Plan!$I37,0)</f>
        <v>0</v>
      </c>
      <c r="C37" s="1" t="n">
        <f aca="false">IF(Pertenencia!C37=1,Plan!$I37,0)</f>
        <v>0</v>
      </c>
      <c r="D37" s="1" t="n">
        <f aca="false">IF(Pertenencia!D37=1,Plan!$I37,0)</f>
        <v>0</v>
      </c>
      <c r="E37" s="1" t="n">
        <f aca="false">IF(Pertenencia!E37=1,Plan!$I37,0)</f>
        <v>0</v>
      </c>
      <c r="F37" s="1" t="n">
        <f aca="false">IF(Pertenencia!F37=1,Plan!$I37,0)</f>
        <v>0</v>
      </c>
      <c r="G37" s="1" t="n">
        <f aca="false">IF(Pertenencia!G37=1,Plan!$I37,0)</f>
        <v>2</v>
      </c>
      <c r="H37" s="1" t="n">
        <f aca="false">IF(Pertenencia!H37=1,Plan!$I37,0)</f>
        <v>0</v>
      </c>
      <c r="I37" s="1" t="n">
        <f aca="false">IF(Pertenencia!I37=1,Plan!$I37,0)</f>
        <v>2</v>
      </c>
      <c r="J37" s="1" t="n">
        <f aca="false">IF(Pertenencia!J37=1,Plan!$I37,0)</f>
        <v>0</v>
      </c>
      <c r="K37" s="1" t="n">
        <f aca="false">IF(Pertenencia!K37=1,Plan!$I37,0)</f>
        <v>0</v>
      </c>
      <c r="L37" s="1" t="n">
        <f aca="false">IF(Pertenencia!L37=1,Plan!$I37,0)</f>
        <v>0</v>
      </c>
      <c r="M37" s="1" t="n">
        <f aca="false">IF(Pertenencia!M37=1,Plan!$I37,0)</f>
        <v>0</v>
      </c>
    </row>
    <row r="38" customFormat="false" ht="15" hidden="false" customHeight="true" outlineLevel="0" collapsed="false">
      <c r="A38" s="1" t="s">
        <v>191</v>
      </c>
      <c r="B38" s="1" t="n">
        <f aca="false">IF(Pertenencia!B38=1,Plan!$I38,0)</f>
        <v>0</v>
      </c>
      <c r="C38" s="1" t="n">
        <f aca="false">IF(Pertenencia!C38=1,Plan!$I38,0)</f>
        <v>0</v>
      </c>
      <c r="D38" s="1" t="n">
        <f aca="false">IF(Pertenencia!D38=1,Plan!$I38,0)</f>
        <v>0</v>
      </c>
      <c r="E38" s="1" t="n">
        <f aca="false">IF(Pertenencia!E38=1,Plan!$I38,0)</f>
        <v>0</v>
      </c>
      <c r="F38" s="1" t="n">
        <f aca="false">IF(Pertenencia!F38=1,Plan!$I38,0)</f>
        <v>0</v>
      </c>
      <c r="G38" s="1" t="n">
        <f aca="false">IF(Pertenencia!G38=1,Plan!$I38,0)</f>
        <v>2</v>
      </c>
      <c r="H38" s="1" t="n">
        <f aca="false">IF(Pertenencia!H38=1,Plan!$I38,0)</f>
        <v>0</v>
      </c>
      <c r="I38" s="1" t="n">
        <f aca="false">IF(Pertenencia!I38=1,Plan!$I38,0)</f>
        <v>0</v>
      </c>
      <c r="J38" s="1" t="n">
        <f aca="false">IF(Pertenencia!J38=1,Plan!$I38,0)</f>
        <v>0</v>
      </c>
      <c r="K38" s="1" t="n">
        <f aca="false">IF(Pertenencia!K38=1,Plan!$I38,0)</f>
        <v>0</v>
      </c>
      <c r="L38" s="1" t="n">
        <f aca="false">IF(Pertenencia!L38=1,Plan!$I38,0)</f>
        <v>0</v>
      </c>
      <c r="M38" s="1" t="n">
        <f aca="false">IF(Pertenencia!M38=1,Plan!$I38,0)</f>
        <v>0</v>
      </c>
    </row>
    <row r="39" customFormat="false" ht="15" hidden="false" customHeight="true" outlineLevel="0" collapsed="false">
      <c r="A39" s="1" t="s">
        <v>194</v>
      </c>
      <c r="B39" s="1" t="n">
        <f aca="false">IF(Pertenencia!B39=1,Plan!$I39,0)</f>
        <v>0</v>
      </c>
      <c r="C39" s="1" t="n">
        <f aca="false">IF(Pertenencia!C39=1,Plan!$I39,0)</f>
        <v>0</v>
      </c>
      <c r="D39" s="1" t="n">
        <f aca="false">IF(Pertenencia!D39=1,Plan!$I39,0)</f>
        <v>0</v>
      </c>
      <c r="E39" s="1" t="n">
        <f aca="false">IF(Pertenencia!E39=1,Plan!$I39,0)</f>
        <v>0</v>
      </c>
      <c r="F39" s="1" t="n">
        <f aca="false">IF(Pertenencia!F39=1,Plan!$I39,0)</f>
        <v>0</v>
      </c>
      <c r="G39" s="1" t="n">
        <f aca="false">IF(Pertenencia!G39=1,Plan!$I39,0)</f>
        <v>2</v>
      </c>
      <c r="H39" s="1" t="n">
        <f aca="false">IF(Pertenencia!H39=1,Plan!$I39,0)</f>
        <v>0</v>
      </c>
      <c r="I39" s="1" t="n">
        <f aca="false">IF(Pertenencia!I39=1,Plan!$I39,0)</f>
        <v>0</v>
      </c>
      <c r="J39" s="1" t="n">
        <f aca="false">IF(Pertenencia!J39=1,Plan!$I39,0)</f>
        <v>0</v>
      </c>
      <c r="K39" s="1" t="n">
        <f aca="false">IF(Pertenencia!K39=1,Plan!$I39,0)</f>
        <v>0</v>
      </c>
      <c r="L39" s="1" t="n">
        <f aca="false">IF(Pertenencia!L39=1,Plan!$I39,0)</f>
        <v>0</v>
      </c>
      <c r="M39" s="1" t="n">
        <f aca="false">IF(Pertenencia!M39=1,Plan!$I39,0)</f>
        <v>0</v>
      </c>
    </row>
    <row r="40" customFormat="false" ht="15" hidden="false" customHeight="true" outlineLevel="0" collapsed="false">
      <c r="A40" s="1" t="s">
        <v>198</v>
      </c>
      <c r="B40" s="1" t="n">
        <f aca="false">IF(Pertenencia!B40=1,Plan!$I40,0)</f>
        <v>2</v>
      </c>
      <c r="C40" s="1" t="n">
        <f aca="false">IF(Pertenencia!C40=1,Plan!$I40,0)</f>
        <v>2</v>
      </c>
      <c r="D40" s="1" t="n">
        <f aca="false">IF(Pertenencia!D40=1,Plan!$I40,0)</f>
        <v>0</v>
      </c>
      <c r="E40" s="1" t="n">
        <f aca="false">IF(Pertenencia!E40=1,Plan!$I40,0)</f>
        <v>2</v>
      </c>
      <c r="F40" s="1" t="n">
        <f aca="false">IF(Pertenencia!F40=1,Plan!$I40,0)</f>
        <v>2</v>
      </c>
      <c r="G40" s="1" t="n">
        <f aca="false">IF(Pertenencia!G40=1,Plan!$I40,0)</f>
        <v>0</v>
      </c>
      <c r="H40" s="1" t="n">
        <f aca="false">IF(Pertenencia!H40=1,Plan!$I40,0)</f>
        <v>0</v>
      </c>
      <c r="I40" s="1" t="n">
        <f aca="false">IF(Pertenencia!I40=1,Plan!$I40,0)</f>
        <v>0</v>
      </c>
      <c r="J40" s="1" t="n">
        <f aca="false">IF(Pertenencia!J40=1,Plan!$I40,0)</f>
        <v>0</v>
      </c>
      <c r="K40" s="1" t="n">
        <f aca="false">IF(Pertenencia!K40=1,Plan!$I40,0)</f>
        <v>0</v>
      </c>
      <c r="L40" s="1" t="n">
        <f aca="false">IF(Pertenencia!L40=1,Plan!$I40,0)</f>
        <v>0</v>
      </c>
      <c r="M40" s="1" t="n">
        <f aca="false">IF(Pertenencia!M40=1,Plan!$I40,0)</f>
        <v>0</v>
      </c>
    </row>
    <row r="41" customFormat="false" ht="15" hidden="false" customHeight="true" outlineLevel="0" collapsed="false">
      <c r="A41" s="1" t="s">
        <v>201</v>
      </c>
      <c r="B41" s="1" t="n">
        <f aca="false">IF(Pertenencia!B41=1,Plan!$I41,0)</f>
        <v>0</v>
      </c>
      <c r="C41" s="1" t="n">
        <f aca="false">IF(Pertenencia!C41=1,Plan!$I41,0)</f>
        <v>3</v>
      </c>
      <c r="D41" s="1" t="n">
        <f aca="false">IF(Pertenencia!D41=1,Plan!$I41,0)</f>
        <v>0</v>
      </c>
      <c r="E41" s="1" t="n">
        <f aca="false">IF(Pertenencia!E41=1,Plan!$I41,0)</f>
        <v>3</v>
      </c>
      <c r="F41" s="1" t="n">
        <f aca="false">IF(Pertenencia!F41=1,Plan!$I41,0)</f>
        <v>3</v>
      </c>
      <c r="G41" s="1" t="n">
        <f aca="false">IF(Pertenencia!G41=1,Plan!$I41,0)</f>
        <v>0</v>
      </c>
      <c r="H41" s="1" t="n">
        <f aca="false">IF(Pertenencia!H41=1,Plan!$I41,0)</f>
        <v>0</v>
      </c>
      <c r="I41" s="1" t="n">
        <f aca="false">IF(Pertenencia!I41=1,Plan!$I41,0)</f>
        <v>0</v>
      </c>
      <c r="J41" s="1" t="n">
        <f aca="false">IF(Pertenencia!J41=1,Plan!$I41,0)</f>
        <v>0</v>
      </c>
      <c r="K41" s="1" t="n">
        <f aca="false">IF(Pertenencia!K41=1,Plan!$I41,0)</f>
        <v>0</v>
      </c>
      <c r="L41" s="1" t="n">
        <f aca="false">IF(Pertenencia!L41=1,Plan!$I41,0)</f>
        <v>0</v>
      </c>
      <c r="M41" s="1" t="n">
        <f aca="false">IF(Pertenencia!M41=1,Plan!$I41,0)</f>
        <v>0</v>
      </c>
    </row>
    <row r="42" customFormat="false" ht="15" hidden="false" customHeight="true" outlineLevel="0" collapsed="false">
      <c r="A42" s="1" t="s">
        <v>205</v>
      </c>
      <c r="B42" s="1" t="n">
        <f aca="false">IF(Pertenencia!B42=1,Plan!$I42,0)</f>
        <v>0</v>
      </c>
      <c r="C42" s="1" t="n">
        <f aca="false">IF(Pertenencia!C42=1,Plan!$I42,0)</f>
        <v>3</v>
      </c>
      <c r="D42" s="1" t="n">
        <f aca="false">IF(Pertenencia!D42=1,Plan!$I42,0)</f>
        <v>0</v>
      </c>
      <c r="E42" s="1" t="n">
        <f aca="false">IF(Pertenencia!E42=1,Plan!$I42,0)</f>
        <v>3</v>
      </c>
      <c r="F42" s="1" t="n">
        <f aca="false">IF(Pertenencia!F42=1,Plan!$I42,0)</f>
        <v>3</v>
      </c>
      <c r="G42" s="1" t="n">
        <f aca="false">IF(Pertenencia!G42=1,Plan!$I42,0)</f>
        <v>0</v>
      </c>
      <c r="H42" s="1" t="n">
        <f aca="false">IF(Pertenencia!H42=1,Plan!$I42,0)</f>
        <v>0</v>
      </c>
      <c r="I42" s="1" t="n">
        <f aca="false">IF(Pertenencia!I42=1,Plan!$I42,0)</f>
        <v>0</v>
      </c>
      <c r="J42" s="1" t="n">
        <f aca="false">IF(Pertenencia!J42=1,Plan!$I42,0)</f>
        <v>0</v>
      </c>
      <c r="K42" s="1" t="n">
        <f aca="false">IF(Pertenencia!K42=1,Plan!$I42,0)</f>
        <v>0</v>
      </c>
      <c r="L42" s="1" t="n">
        <f aca="false">IF(Pertenencia!L42=1,Plan!$I42,0)</f>
        <v>0</v>
      </c>
      <c r="M42" s="1" t="n">
        <f aca="false">IF(Pertenencia!M42=1,Plan!$I42,0)</f>
        <v>0</v>
      </c>
    </row>
    <row r="43" customFormat="false" ht="15" hidden="false" customHeight="true" outlineLevel="0" collapsed="false">
      <c r="A43" s="1" t="s">
        <v>209</v>
      </c>
      <c r="B43" s="1" t="n">
        <f aca="false">IF(Pertenencia!B43=1,Plan!$I43,0)</f>
        <v>0</v>
      </c>
      <c r="C43" s="1" t="n">
        <f aca="false">IF(Pertenencia!C43=1,Plan!$I43,0)</f>
        <v>0</v>
      </c>
      <c r="D43" s="1" t="n">
        <f aca="false">IF(Pertenencia!D43=1,Plan!$I43,0)</f>
        <v>0</v>
      </c>
      <c r="E43" s="1" t="n">
        <f aca="false">IF(Pertenencia!E43=1,Plan!$I43,0)</f>
        <v>3</v>
      </c>
      <c r="F43" s="1" t="n">
        <f aca="false">IF(Pertenencia!F43=1,Plan!$I43,0)</f>
        <v>0</v>
      </c>
      <c r="G43" s="1" t="n">
        <f aca="false">IF(Pertenencia!G43=1,Plan!$I43,0)</f>
        <v>0</v>
      </c>
      <c r="H43" s="1" t="n">
        <f aca="false">IF(Pertenencia!H43=1,Plan!$I43,0)</f>
        <v>0</v>
      </c>
      <c r="I43" s="1" t="n">
        <f aca="false">IF(Pertenencia!I43=1,Plan!$I43,0)</f>
        <v>0</v>
      </c>
      <c r="J43" s="1" t="n">
        <f aca="false">IF(Pertenencia!J43=1,Plan!$I43,0)</f>
        <v>0</v>
      </c>
      <c r="K43" s="1" t="n">
        <f aca="false">IF(Pertenencia!K43=1,Plan!$I43,0)</f>
        <v>0</v>
      </c>
      <c r="L43" s="1" t="n">
        <f aca="false">IF(Pertenencia!L43=1,Plan!$I43,0)</f>
        <v>0</v>
      </c>
      <c r="M43" s="1" t="n">
        <f aca="false">IF(Pertenencia!M43=1,Plan!$I43,0)</f>
        <v>0</v>
      </c>
    </row>
    <row r="44" customFormat="false" ht="15" hidden="false" customHeight="true" outlineLevel="0" collapsed="false">
      <c r="A44" s="1" t="s">
        <v>213</v>
      </c>
      <c r="B44" s="1" t="n">
        <f aca="false">IF(Pertenencia!B44=1,Plan!$I44,0)</f>
        <v>0</v>
      </c>
      <c r="C44" s="1" t="n">
        <f aca="false">IF(Pertenencia!C44=1,Plan!$I44,0)</f>
        <v>0</v>
      </c>
      <c r="D44" s="1" t="n">
        <f aca="false">IF(Pertenencia!D44=1,Plan!$I44,0)</f>
        <v>0</v>
      </c>
      <c r="E44" s="1" t="n">
        <f aca="false">IF(Pertenencia!E44=1,Plan!$I44,0)</f>
        <v>0</v>
      </c>
      <c r="F44" s="1" t="n">
        <f aca="false">IF(Pertenencia!F44=1,Plan!$I44,0)</f>
        <v>3</v>
      </c>
      <c r="G44" s="1" t="n">
        <f aca="false">IF(Pertenencia!G44=1,Plan!$I44,0)</f>
        <v>0</v>
      </c>
      <c r="H44" s="1" t="n">
        <f aca="false">IF(Pertenencia!H44=1,Plan!$I44,0)</f>
        <v>0</v>
      </c>
      <c r="I44" s="1" t="n">
        <f aca="false">IF(Pertenencia!I44=1,Plan!$I44,0)</f>
        <v>0</v>
      </c>
      <c r="J44" s="1" t="n">
        <f aca="false">IF(Pertenencia!J44=1,Plan!$I44,0)</f>
        <v>0</v>
      </c>
      <c r="K44" s="1" t="n">
        <f aca="false">IF(Pertenencia!K44=1,Plan!$I44,0)</f>
        <v>0</v>
      </c>
      <c r="L44" s="1" t="n">
        <f aca="false">IF(Pertenencia!L44=1,Plan!$I44,0)</f>
        <v>0</v>
      </c>
      <c r="M44" s="1" t="n">
        <f aca="false">IF(Pertenencia!M44=1,Plan!$I44,0)</f>
        <v>0</v>
      </c>
    </row>
    <row r="45" customFormat="false" ht="15" hidden="false" customHeight="true" outlineLevel="0" collapsed="false">
      <c r="A45" s="1" t="s">
        <v>217</v>
      </c>
      <c r="B45" s="1" t="n">
        <f aca="false">IF(Pertenencia!B45=1,Plan!$I45,0)</f>
        <v>0</v>
      </c>
      <c r="C45" s="1" t="n">
        <f aca="false">IF(Pertenencia!C45=1,Plan!$I45,0)</f>
        <v>2</v>
      </c>
      <c r="D45" s="1" t="n">
        <f aca="false">IF(Pertenencia!D45=1,Plan!$I45,0)</f>
        <v>0</v>
      </c>
      <c r="E45" s="1" t="n">
        <f aca="false">IF(Pertenencia!E45=1,Plan!$I45,0)</f>
        <v>2</v>
      </c>
      <c r="F45" s="1" t="n">
        <f aca="false">IF(Pertenencia!F45=1,Plan!$I45,0)</f>
        <v>0</v>
      </c>
      <c r="G45" s="1" t="n">
        <f aca="false">IF(Pertenencia!G45=1,Plan!$I45,0)</f>
        <v>0</v>
      </c>
      <c r="H45" s="1" t="n">
        <f aca="false">IF(Pertenencia!H45=1,Plan!$I45,0)</f>
        <v>0</v>
      </c>
      <c r="I45" s="1" t="n">
        <f aca="false">IF(Pertenencia!I45=1,Plan!$I45,0)</f>
        <v>0</v>
      </c>
      <c r="J45" s="1" t="n">
        <f aca="false">IF(Pertenencia!J45=1,Plan!$I45,0)</f>
        <v>0</v>
      </c>
      <c r="K45" s="1" t="n">
        <f aca="false">IF(Pertenencia!K45=1,Plan!$I45,0)</f>
        <v>0</v>
      </c>
      <c r="L45" s="1" t="n">
        <f aca="false">IF(Pertenencia!L45=1,Plan!$I45,0)</f>
        <v>0</v>
      </c>
      <c r="M45" s="1" t="n">
        <f aca="false">IF(Pertenencia!M45=1,Plan!$I45,0)</f>
        <v>0</v>
      </c>
    </row>
    <row r="46" customFormat="false" ht="15" hidden="false" customHeight="true" outlineLevel="0" collapsed="false">
      <c r="A46" s="1" t="s">
        <v>221</v>
      </c>
      <c r="B46" s="1" t="n">
        <f aca="false">IF(Pertenencia!B46=1,Plan!$I46,0)</f>
        <v>2</v>
      </c>
      <c r="C46" s="1" t="n">
        <f aca="false">IF(Pertenencia!C46=1,Plan!$I46,0)</f>
        <v>0</v>
      </c>
      <c r="D46" s="1" t="n">
        <f aca="false">IF(Pertenencia!D46=1,Plan!$I46,0)</f>
        <v>0</v>
      </c>
      <c r="E46" s="1" t="n">
        <f aca="false">IF(Pertenencia!E46=1,Plan!$I46,0)</f>
        <v>0</v>
      </c>
      <c r="F46" s="1" t="n">
        <f aca="false">IF(Pertenencia!F46=1,Plan!$I46,0)</f>
        <v>0</v>
      </c>
      <c r="G46" s="1" t="n">
        <f aca="false">IF(Pertenencia!G46=1,Plan!$I46,0)</f>
        <v>0</v>
      </c>
      <c r="H46" s="1" t="n">
        <f aca="false">IF(Pertenencia!H46=1,Plan!$I46,0)</f>
        <v>0</v>
      </c>
      <c r="I46" s="1" t="n">
        <f aca="false">IF(Pertenencia!I46=1,Plan!$I46,0)</f>
        <v>0</v>
      </c>
      <c r="J46" s="1" t="n">
        <f aca="false">IF(Pertenencia!J46=1,Plan!$I46,0)</f>
        <v>0</v>
      </c>
      <c r="K46" s="1" t="n">
        <f aca="false">IF(Pertenencia!K46=1,Plan!$I46,0)</f>
        <v>0</v>
      </c>
      <c r="L46" s="1" t="n">
        <f aca="false">IF(Pertenencia!L46=1,Plan!$I46,0)</f>
        <v>0</v>
      </c>
      <c r="M46" s="1" t="n">
        <f aca="false">IF(Pertenencia!M46=1,Plan!$I46,0)</f>
        <v>0</v>
      </c>
    </row>
    <row r="47" customFormat="false" ht="15" hidden="false" customHeight="true" outlineLevel="0" collapsed="false">
      <c r="A47" s="1" t="s">
        <v>225</v>
      </c>
      <c r="B47" s="1" t="n">
        <f aca="false">IF(Pertenencia!B47=1,Plan!$I47,0)</f>
        <v>0</v>
      </c>
      <c r="C47" s="1" t="n">
        <f aca="false">IF(Pertenencia!C47=1,Plan!$I47,0)</f>
        <v>3</v>
      </c>
      <c r="D47" s="1" t="n">
        <f aca="false">IF(Pertenencia!D47=1,Plan!$I47,0)</f>
        <v>0</v>
      </c>
      <c r="E47" s="1" t="n">
        <f aca="false">IF(Pertenencia!E47=1,Plan!$I47,0)</f>
        <v>3</v>
      </c>
      <c r="F47" s="1" t="n">
        <f aca="false">IF(Pertenencia!F47=1,Plan!$I47,0)</f>
        <v>3</v>
      </c>
      <c r="G47" s="1" t="n">
        <f aca="false">IF(Pertenencia!G47=1,Plan!$I47,0)</f>
        <v>0</v>
      </c>
      <c r="H47" s="1" t="n">
        <f aca="false">IF(Pertenencia!H47=1,Plan!$I47,0)</f>
        <v>0</v>
      </c>
      <c r="I47" s="1" t="n">
        <f aca="false">IF(Pertenencia!I47=1,Plan!$I47,0)</f>
        <v>0</v>
      </c>
      <c r="J47" s="1" t="n">
        <f aca="false">IF(Pertenencia!J47=1,Plan!$I47,0)</f>
        <v>0</v>
      </c>
      <c r="K47" s="1" t="n">
        <f aca="false">IF(Pertenencia!K47=1,Plan!$I47,0)</f>
        <v>0</v>
      </c>
      <c r="L47" s="1" t="n">
        <f aca="false">IF(Pertenencia!L47=1,Plan!$I47,0)</f>
        <v>0</v>
      </c>
      <c r="M47" s="1" t="n">
        <f aca="false">IF(Pertenencia!M47=1,Plan!$I47,0)</f>
        <v>0</v>
      </c>
    </row>
    <row r="48" customFormat="false" ht="15" hidden="false" customHeight="true" outlineLevel="0" collapsed="false">
      <c r="A48" s="1" t="s">
        <v>229</v>
      </c>
      <c r="B48" s="1" t="n">
        <f aca="false">IF(Pertenencia!B48=1,Plan!$I48,0)</f>
        <v>0</v>
      </c>
      <c r="C48" s="1" t="n">
        <f aca="false">IF(Pertenencia!C48=1,Plan!$I48,0)</f>
        <v>2</v>
      </c>
      <c r="D48" s="1" t="n">
        <f aca="false">IF(Pertenencia!D48=1,Plan!$I48,0)</f>
        <v>0</v>
      </c>
      <c r="E48" s="1" t="n">
        <f aca="false">IF(Pertenencia!E48=1,Plan!$I48,0)</f>
        <v>2</v>
      </c>
      <c r="F48" s="1" t="n">
        <f aca="false">IF(Pertenencia!F48=1,Plan!$I48,0)</f>
        <v>2</v>
      </c>
      <c r="G48" s="1" t="n">
        <f aca="false">IF(Pertenencia!G48=1,Plan!$I48,0)</f>
        <v>0</v>
      </c>
      <c r="H48" s="1" t="n">
        <f aca="false">IF(Pertenencia!H48=1,Plan!$I48,0)</f>
        <v>0</v>
      </c>
      <c r="I48" s="1" t="n">
        <f aca="false">IF(Pertenencia!I48=1,Plan!$I48,0)</f>
        <v>0</v>
      </c>
      <c r="J48" s="1" t="n">
        <f aca="false">IF(Pertenencia!J48=1,Plan!$I48,0)</f>
        <v>0</v>
      </c>
      <c r="K48" s="1" t="n">
        <f aca="false">IF(Pertenencia!K48=1,Plan!$I48,0)</f>
        <v>0</v>
      </c>
      <c r="L48" s="1" t="n">
        <f aca="false">IF(Pertenencia!L48=1,Plan!$I48,0)</f>
        <v>0</v>
      </c>
      <c r="M48" s="1" t="n">
        <f aca="false">IF(Pertenencia!M48=1,Plan!$I48,0)</f>
        <v>0</v>
      </c>
    </row>
    <row r="49" customFormat="false" ht="15" hidden="false" customHeight="true" outlineLevel="0" collapsed="false">
      <c r="A49" s="1" t="s">
        <v>233</v>
      </c>
      <c r="B49" s="1" t="n">
        <f aca="false">IF(Pertenencia!B49=1,Plan!$I49,0)</f>
        <v>0</v>
      </c>
      <c r="C49" s="1" t="n">
        <f aca="false">IF(Pertenencia!C49=1,Plan!$I49,0)</f>
        <v>0</v>
      </c>
      <c r="D49" s="1" t="n">
        <f aca="false">IF(Pertenencia!D49=1,Plan!$I49,0)</f>
        <v>2</v>
      </c>
      <c r="E49" s="1" t="n">
        <f aca="false">IF(Pertenencia!E49=1,Plan!$I49,0)</f>
        <v>0</v>
      </c>
      <c r="F49" s="1" t="n">
        <f aca="false">IF(Pertenencia!F49=1,Plan!$I49,0)</f>
        <v>0</v>
      </c>
      <c r="G49" s="1" t="n">
        <f aca="false">IF(Pertenencia!G49=1,Plan!$I49,0)</f>
        <v>0</v>
      </c>
      <c r="H49" s="1" t="n">
        <f aca="false">IF(Pertenencia!H49=1,Plan!$I49,0)</f>
        <v>0</v>
      </c>
      <c r="I49" s="1" t="n">
        <f aca="false">IF(Pertenencia!I49=1,Plan!$I49,0)</f>
        <v>0</v>
      </c>
      <c r="J49" s="1" t="n">
        <f aca="false">IF(Pertenencia!J49=1,Plan!$I49,0)</f>
        <v>0</v>
      </c>
      <c r="K49" s="1" t="n">
        <f aca="false">IF(Pertenencia!K49=1,Plan!$I49,0)</f>
        <v>0</v>
      </c>
      <c r="L49" s="1" t="n">
        <f aca="false">IF(Pertenencia!L49=1,Plan!$I49,0)</f>
        <v>0</v>
      </c>
      <c r="M49" s="1" t="n">
        <f aca="false">IF(Pertenencia!M49=1,Plan!$I49,0)</f>
        <v>0</v>
      </c>
    </row>
    <row r="50" customFormat="false" ht="15" hidden="false" customHeight="true" outlineLevel="0" collapsed="false">
      <c r="A50" s="1" t="s">
        <v>236</v>
      </c>
      <c r="B50" s="1" t="n">
        <f aca="false">IF(Pertenencia!B50=1,Plan!$I50,0)</f>
        <v>0</v>
      </c>
      <c r="C50" s="1" t="n">
        <f aca="false">IF(Pertenencia!C50=1,Plan!$I50,0)</f>
        <v>0</v>
      </c>
      <c r="D50" s="1" t="n">
        <f aca="false">IF(Pertenencia!D50=1,Plan!$I50,0)</f>
        <v>3</v>
      </c>
      <c r="E50" s="1" t="n">
        <f aca="false">IF(Pertenencia!E50=1,Plan!$I50,0)</f>
        <v>0</v>
      </c>
      <c r="F50" s="1" t="n">
        <f aca="false">IF(Pertenencia!F50=1,Plan!$I50,0)</f>
        <v>0</v>
      </c>
      <c r="G50" s="1" t="n">
        <f aca="false">IF(Pertenencia!G50=1,Plan!$I50,0)</f>
        <v>0</v>
      </c>
      <c r="H50" s="1" t="n">
        <f aca="false">IF(Pertenencia!H50=1,Plan!$I50,0)</f>
        <v>0</v>
      </c>
      <c r="I50" s="1" t="n">
        <f aca="false">IF(Pertenencia!I50=1,Plan!$I50,0)</f>
        <v>0</v>
      </c>
      <c r="J50" s="1" t="n">
        <f aca="false">IF(Pertenencia!J50=1,Plan!$I50,0)</f>
        <v>0</v>
      </c>
      <c r="K50" s="1" t="n">
        <f aca="false">IF(Pertenencia!K50=1,Plan!$I50,0)</f>
        <v>0</v>
      </c>
      <c r="L50" s="1" t="n">
        <f aca="false">IF(Pertenencia!L50=1,Plan!$I50,0)</f>
        <v>0</v>
      </c>
      <c r="M50" s="1" t="n">
        <f aca="false">IF(Pertenencia!M50=1,Plan!$I50,0)</f>
        <v>0</v>
      </c>
    </row>
    <row r="51" customFormat="false" ht="15" hidden="false" customHeight="true" outlineLevel="0" collapsed="false">
      <c r="A51" s="1" t="s">
        <v>240</v>
      </c>
      <c r="B51" s="1" t="n">
        <f aca="false">IF(Pertenencia!B51=1,Plan!$I51,0)</f>
        <v>0</v>
      </c>
      <c r="C51" s="1" t="n">
        <f aca="false">IF(Pertenencia!C51=1,Plan!$I51,0)</f>
        <v>0</v>
      </c>
      <c r="D51" s="1" t="n">
        <f aca="false">IF(Pertenencia!D51=1,Plan!$I51,0)</f>
        <v>2</v>
      </c>
      <c r="E51" s="1" t="n">
        <f aca="false">IF(Pertenencia!E51=1,Plan!$I51,0)</f>
        <v>0</v>
      </c>
      <c r="F51" s="1" t="n">
        <f aca="false">IF(Pertenencia!F51=1,Plan!$I51,0)</f>
        <v>0</v>
      </c>
      <c r="G51" s="1" t="n">
        <f aca="false">IF(Pertenencia!G51=1,Plan!$I51,0)</f>
        <v>0</v>
      </c>
      <c r="H51" s="1" t="n">
        <f aca="false">IF(Pertenencia!H51=1,Plan!$I51,0)</f>
        <v>0</v>
      </c>
      <c r="I51" s="1" t="n">
        <f aca="false">IF(Pertenencia!I51=1,Plan!$I51,0)</f>
        <v>0</v>
      </c>
      <c r="J51" s="1" t="n">
        <f aca="false">IF(Pertenencia!J51=1,Plan!$I51,0)</f>
        <v>0</v>
      </c>
      <c r="K51" s="1" t="n">
        <f aca="false">IF(Pertenencia!K51=1,Plan!$I51,0)</f>
        <v>0</v>
      </c>
      <c r="L51" s="1" t="n">
        <f aca="false">IF(Pertenencia!L51=1,Plan!$I51,0)</f>
        <v>0</v>
      </c>
      <c r="M51" s="1" t="n">
        <f aca="false">IF(Pertenencia!M51=1,Plan!$I51,0)</f>
        <v>0</v>
      </c>
    </row>
    <row r="52" customFormat="false" ht="15" hidden="false" customHeight="true" outlineLevel="0" collapsed="false">
      <c r="A52" s="1" t="s">
        <v>244</v>
      </c>
      <c r="B52" s="1" t="n">
        <f aca="false">IF(Pertenencia!B52=1,Plan!$I52,0)</f>
        <v>0</v>
      </c>
      <c r="C52" s="1" t="n">
        <f aca="false">IF(Pertenencia!C52=1,Plan!$I52,0)</f>
        <v>0</v>
      </c>
      <c r="D52" s="1" t="n">
        <f aca="false">IF(Pertenencia!D52=1,Plan!$I52,0)</f>
        <v>2</v>
      </c>
      <c r="E52" s="1" t="n">
        <f aca="false">IF(Pertenencia!E52=1,Plan!$I52,0)</f>
        <v>0</v>
      </c>
      <c r="F52" s="1" t="n">
        <f aca="false">IF(Pertenencia!F52=1,Plan!$I52,0)</f>
        <v>0</v>
      </c>
      <c r="G52" s="1" t="n">
        <f aca="false">IF(Pertenencia!G52=1,Plan!$I52,0)</f>
        <v>0</v>
      </c>
      <c r="H52" s="1" t="n">
        <f aca="false">IF(Pertenencia!H52=1,Plan!$I52,0)</f>
        <v>0</v>
      </c>
      <c r="I52" s="1" t="n">
        <f aca="false">IF(Pertenencia!I52=1,Plan!$I52,0)</f>
        <v>0</v>
      </c>
      <c r="J52" s="1" t="n">
        <f aca="false">IF(Pertenencia!J52=1,Plan!$I52,0)</f>
        <v>0</v>
      </c>
      <c r="K52" s="1" t="n">
        <f aca="false">IF(Pertenencia!K52=1,Plan!$I52,0)</f>
        <v>0</v>
      </c>
      <c r="L52" s="1" t="n">
        <f aca="false">IF(Pertenencia!L52=1,Plan!$I52,0)</f>
        <v>0</v>
      </c>
      <c r="M52" s="1" t="n">
        <f aca="false">IF(Pertenencia!M52=1,Plan!$I52,0)</f>
        <v>0</v>
      </c>
    </row>
    <row r="53" customFormat="false" ht="15" hidden="false" customHeight="true" outlineLevel="0" collapsed="false">
      <c r="A53" s="1" t="s">
        <v>248</v>
      </c>
      <c r="B53" s="1" t="n">
        <f aca="false">IF(Pertenencia!B53=1,Plan!$I53,0)</f>
        <v>0</v>
      </c>
      <c r="C53" s="1" t="n">
        <f aca="false">IF(Pertenencia!C53=1,Plan!$I53,0)</f>
        <v>0</v>
      </c>
      <c r="D53" s="1" t="n">
        <f aca="false">IF(Pertenencia!D53=1,Plan!$I53,0)</f>
        <v>2</v>
      </c>
      <c r="E53" s="1" t="n">
        <f aca="false">IF(Pertenencia!E53=1,Plan!$I53,0)</f>
        <v>0</v>
      </c>
      <c r="F53" s="1" t="n">
        <f aca="false">IF(Pertenencia!F53=1,Plan!$I53,0)</f>
        <v>0</v>
      </c>
      <c r="G53" s="1" t="n">
        <f aca="false">IF(Pertenencia!G53=1,Plan!$I53,0)</f>
        <v>0</v>
      </c>
      <c r="H53" s="1" t="n">
        <f aca="false">IF(Pertenencia!H53=1,Plan!$I53,0)</f>
        <v>0</v>
      </c>
      <c r="I53" s="1" t="n">
        <f aca="false">IF(Pertenencia!I53=1,Plan!$I53,0)</f>
        <v>0</v>
      </c>
      <c r="J53" s="1" t="n">
        <f aca="false">IF(Pertenencia!J53=1,Plan!$I53,0)</f>
        <v>0</v>
      </c>
      <c r="K53" s="1" t="n">
        <f aca="false">IF(Pertenencia!K53=1,Plan!$I53,0)</f>
        <v>0</v>
      </c>
      <c r="L53" s="1" t="n">
        <f aca="false">IF(Pertenencia!L53=1,Plan!$I53,0)</f>
        <v>0</v>
      </c>
      <c r="M53" s="1" t="n">
        <f aca="false">IF(Pertenencia!M53=1,Plan!$I53,0)</f>
        <v>0</v>
      </c>
    </row>
    <row r="54" customFormat="false" ht="15" hidden="false" customHeight="true" outlineLevel="0" collapsed="false">
      <c r="A54" s="1" t="s">
        <v>252</v>
      </c>
      <c r="B54" s="1" t="n">
        <f aca="false">IF(Pertenencia!B54=1,Plan!$I54,0)</f>
        <v>0</v>
      </c>
      <c r="C54" s="1" t="n">
        <f aca="false">IF(Pertenencia!C54=1,Plan!$I54,0)</f>
        <v>0</v>
      </c>
      <c r="D54" s="1" t="n">
        <f aca="false">IF(Pertenencia!D54=1,Plan!$I54,0)</f>
        <v>1</v>
      </c>
      <c r="E54" s="1" t="n">
        <f aca="false">IF(Pertenencia!E54=1,Plan!$I54,0)</f>
        <v>0</v>
      </c>
      <c r="F54" s="1" t="n">
        <f aca="false">IF(Pertenencia!F54=1,Plan!$I54,0)</f>
        <v>0</v>
      </c>
      <c r="G54" s="1" t="n">
        <f aca="false">IF(Pertenencia!G54=1,Plan!$I54,0)</f>
        <v>0</v>
      </c>
      <c r="H54" s="1" t="n">
        <f aca="false">IF(Pertenencia!H54=1,Plan!$I54,0)</f>
        <v>0</v>
      </c>
      <c r="I54" s="1" t="n">
        <f aca="false">IF(Pertenencia!I54=1,Plan!$I54,0)</f>
        <v>0</v>
      </c>
      <c r="J54" s="1" t="n">
        <f aca="false">IF(Pertenencia!J54=1,Plan!$I54,0)</f>
        <v>0</v>
      </c>
      <c r="K54" s="1" t="n">
        <f aca="false">IF(Pertenencia!K54=1,Plan!$I54,0)</f>
        <v>0</v>
      </c>
      <c r="L54" s="1" t="n">
        <f aca="false">IF(Pertenencia!L54=1,Plan!$I54,0)</f>
        <v>0</v>
      </c>
      <c r="M54" s="1" t="n">
        <f aca="false">IF(Pertenencia!M54=1,Plan!$I54,0)</f>
        <v>0</v>
      </c>
    </row>
    <row r="55" customFormat="false" ht="15" hidden="false" customHeight="true" outlineLevel="0" collapsed="false">
      <c r="A55" s="1" t="s">
        <v>256</v>
      </c>
      <c r="B55" s="1" t="n">
        <f aca="false">IF(Pertenencia!B55=1,Plan!$I55,0)</f>
        <v>2</v>
      </c>
      <c r="C55" s="1" t="n">
        <f aca="false">IF(Pertenencia!C55=1,Plan!$I55,0)</f>
        <v>2</v>
      </c>
      <c r="D55" s="1" t="n">
        <f aca="false">IF(Pertenencia!D55=1,Plan!$I55,0)</f>
        <v>0</v>
      </c>
      <c r="E55" s="1" t="n">
        <f aca="false">IF(Pertenencia!E55=1,Plan!$I55,0)</f>
        <v>0</v>
      </c>
      <c r="F55" s="1" t="n">
        <f aca="false">IF(Pertenencia!F55=1,Plan!$I55,0)</f>
        <v>0</v>
      </c>
      <c r="G55" s="1" t="n">
        <f aca="false">IF(Pertenencia!G55=1,Plan!$I55,0)</f>
        <v>2</v>
      </c>
      <c r="H55" s="1" t="n">
        <f aca="false">IF(Pertenencia!H55=1,Plan!$I55,0)</f>
        <v>2</v>
      </c>
      <c r="I55" s="1" t="n">
        <f aca="false">IF(Pertenencia!I55=1,Plan!$I55,0)</f>
        <v>2</v>
      </c>
      <c r="J55" s="1" t="n">
        <f aca="false">IF(Pertenencia!J55=1,Plan!$I55,0)</f>
        <v>2</v>
      </c>
      <c r="K55" s="1" t="n">
        <f aca="false">IF(Pertenencia!K55=1,Plan!$I55,0)</f>
        <v>2</v>
      </c>
      <c r="L55" s="1" t="n">
        <f aca="false">IF(Pertenencia!L55=1,Plan!$I55,0)</f>
        <v>0</v>
      </c>
      <c r="M55" s="1" t="n">
        <f aca="false">IF(Pertenencia!M55=1,Plan!$I55,0)</f>
        <v>0</v>
      </c>
    </row>
    <row r="56" customFormat="false" ht="15" hidden="false" customHeight="true" outlineLevel="0" collapsed="false">
      <c r="A56" s="1" t="s">
        <v>260</v>
      </c>
      <c r="B56" s="1" t="n">
        <f aca="false">IF(Pertenencia!B56=1,Plan!$I56,0)</f>
        <v>2</v>
      </c>
      <c r="C56" s="1" t="n">
        <f aca="false">IF(Pertenencia!C56=1,Plan!$I56,0)</f>
        <v>2</v>
      </c>
      <c r="D56" s="1" t="n">
        <f aca="false">IF(Pertenencia!D56=1,Plan!$I56,0)</f>
        <v>0</v>
      </c>
      <c r="E56" s="1" t="n">
        <f aca="false">IF(Pertenencia!E56=1,Plan!$I56,0)</f>
        <v>0</v>
      </c>
      <c r="F56" s="1" t="n">
        <f aca="false">IF(Pertenencia!F56=1,Plan!$I56,0)</f>
        <v>0</v>
      </c>
      <c r="G56" s="1" t="n">
        <f aca="false">IF(Pertenencia!G56=1,Plan!$I56,0)</f>
        <v>0</v>
      </c>
      <c r="H56" s="1" t="n">
        <f aca="false">IF(Pertenencia!H56=1,Plan!$I56,0)</f>
        <v>2</v>
      </c>
      <c r="I56" s="1" t="n">
        <f aca="false">IF(Pertenencia!I56=1,Plan!$I56,0)</f>
        <v>2</v>
      </c>
      <c r="J56" s="1" t="n">
        <f aca="false">IF(Pertenencia!J56=1,Plan!$I56,0)</f>
        <v>2</v>
      </c>
      <c r="K56" s="1" t="n">
        <f aca="false">IF(Pertenencia!K56=1,Plan!$I56,0)</f>
        <v>2</v>
      </c>
      <c r="L56" s="1" t="n">
        <f aca="false">IF(Pertenencia!L56=1,Plan!$I56,0)</f>
        <v>0</v>
      </c>
      <c r="M56" s="1" t="n">
        <f aca="false">IF(Pertenencia!M56=1,Plan!$I56,0)</f>
        <v>0</v>
      </c>
    </row>
    <row r="57" customFormat="false" ht="15" hidden="false" customHeight="true" outlineLevel="0" collapsed="false">
      <c r="A57" s="1" t="s">
        <v>263</v>
      </c>
      <c r="B57" s="1" t="n">
        <f aca="false">IF(Pertenencia!B57=1,Plan!$I57,0)</f>
        <v>0</v>
      </c>
      <c r="C57" s="1" t="n">
        <f aca="false">IF(Pertenencia!C57=1,Plan!$I57,0)</f>
        <v>0</v>
      </c>
      <c r="D57" s="1" t="n">
        <f aca="false">IF(Pertenencia!D57=1,Plan!$I57,0)</f>
        <v>0</v>
      </c>
      <c r="E57" s="1" t="n">
        <f aca="false">IF(Pertenencia!E57=1,Plan!$I57,0)</f>
        <v>0</v>
      </c>
      <c r="F57" s="1" t="n">
        <f aca="false">IF(Pertenencia!F57=1,Plan!$I57,0)</f>
        <v>0</v>
      </c>
      <c r="G57" s="1" t="n">
        <f aca="false">IF(Pertenencia!G57=1,Plan!$I57,0)</f>
        <v>0</v>
      </c>
      <c r="H57" s="1" t="n">
        <f aca="false">IF(Pertenencia!H57=1,Plan!$I57,0)</f>
        <v>3</v>
      </c>
      <c r="I57" s="1" t="n">
        <f aca="false">IF(Pertenencia!I57=1,Plan!$I57,0)</f>
        <v>3</v>
      </c>
      <c r="J57" s="1" t="n">
        <f aca="false">IF(Pertenencia!J57=1,Plan!$I57,0)</f>
        <v>3</v>
      </c>
      <c r="K57" s="1" t="n">
        <f aca="false">IF(Pertenencia!K57=1,Plan!$I57,0)</f>
        <v>3</v>
      </c>
      <c r="L57" s="1" t="n">
        <f aca="false">IF(Pertenencia!L57=1,Plan!$I57,0)</f>
        <v>0</v>
      </c>
      <c r="M57" s="1" t="n">
        <f aca="false">IF(Pertenencia!M57=1,Plan!$I57,0)</f>
        <v>0</v>
      </c>
    </row>
    <row r="58" customFormat="false" ht="15" hidden="false" customHeight="true" outlineLevel="0" collapsed="false">
      <c r="A58" s="1" t="s">
        <v>267</v>
      </c>
      <c r="B58" s="1" t="n">
        <f aca="false">IF(Pertenencia!B58=1,Plan!$I58,0)</f>
        <v>2</v>
      </c>
      <c r="C58" s="1" t="n">
        <f aca="false">IF(Pertenencia!C58=1,Plan!$I58,0)</f>
        <v>2</v>
      </c>
      <c r="D58" s="1" t="n">
        <f aca="false">IF(Pertenencia!D58=1,Plan!$I58,0)</f>
        <v>0</v>
      </c>
      <c r="E58" s="1" t="n">
        <f aca="false">IF(Pertenencia!E58=1,Plan!$I58,0)</f>
        <v>0</v>
      </c>
      <c r="F58" s="1" t="n">
        <f aca="false">IF(Pertenencia!F58=1,Plan!$I58,0)</f>
        <v>0</v>
      </c>
      <c r="G58" s="1" t="n">
        <f aca="false">IF(Pertenencia!G58=1,Plan!$I58,0)</f>
        <v>0</v>
      </c>
      <c r="H58" s="1" t="n">
        <f aca="false">IF(Pertenencia!H58=1,Plan!$I58,0)</f>
        <v>0</v>
      </c>
      <c r="I58" s="1" t="n">
        <f aca="false">IF(Pertenencia!I58=1,Plan!$I58,0)</f>
        <v>2</v>
      </c>
      <c r="J58" s="1" t="n">
        <f aca="false">IF(Pertenencia!J58=1,Plan!$I58,0)</f>
        <v>0</v>
      </c>
      <c r="K58" s="1" t="n">
        <f aca="false">IF(Pertenencia!K58=1,Plan!$I58,0)</f>
        <v>0</v>
      </c>
      <c r="L58" s="1" t="n">
        <f aca="false">IF(Pertenencia!L58=1,Plan!$I58,0)</f>
        <v>0</v>
      </c>
      <c r="M58" s="1" t="n">
        <f aca="false">IF(Pertenencia!M58=1,Plan!$I58,0)</f>
        <v>0</v>
      </c>
    </row>
    <row r="59" customFormat="false" ht="15" hidden="false" customHeight="true" outlineLevel="0" collapsed="false">
      <c r="A59" s="1" t="s">
        <v>271</v>
      </c>
      <c r="B59" s="1" t="n">
        <f aca="false">IF(Pertenencia!B59=1,Plan!$I59,0)</f>
        <v>2</v>
      </c>
      <c r="C59" s="1" t="n">
        <f aca="false">IF(Pertenencia!C59=1,Plan!$I59,0)</f>
        <v>0</v>
      </c>
      <c r="D59" s="1" t="n">
        <f aca="false">IF(Pertenencia!D59=1,Plan!$I59,0)</f>
        <v>0</v>
      </c>
      <c r="E59" s="1" t="n">
        <f aca="false">IF(Pertenencia!E59=1,Plan!$I59,0)</f>
        <v>0</v>
      </c>
      <c r="F59" s="1" t="n">
        <f aca="false">IF(Pertenencia!F59=1,Plan!$I59,0)</f>
        <v>0</v>
      </c>
      <c r="G59" s="1" t="n">
        <f aca="false">IF(Pertenencia!G59=1,Plan!$I59,0)</f>
        <v>0</v>
      </c>
      <c r="H59" s="1" t="n">
        <f aca="false">IF(Pertenencia!H59=1,Plan!$I59,0)</f>
        <v>0</v>
      </c>
      <c r="I59" s="1" t="n">
        <f aca="false">IF(Pertenencia!I59=1,Plan!$I59,0)</f>
        <v>0</v>
      </c>
      <c r="J59" s="1" t="n">
        <f aca="false">IF(Pertenencia!J59=1,Plan!$I59,0)</f>
        <v>2</v>
      </c>
      <c r="K59" s="1" t="n">
        <f aca="false">IF(Pertenencia!K59=1,Plan!$I59,0)</f>
        <v>2</v>
      </c>
      <c r="L59" s="1" t="n">
        <f aca="false">IF(Pertenencia!L59=1,Plan!$I59,0)</f>
        <v>0</v>
      </c>
      <c r="M59" s="1" t="n">
        <f aca="false">IF(Pertenencia!M59=1,Plan!$I59,0)</f>
        <v>0</v>
      </c>
    </row>
    <row r="60" customFormat="false" ht="15" hidden="false" customHeight="true" outlineLevel="0" collapsed="false">
      <c r="A60" s="1" t="s">
        <v>275</v>
      </c>
      <c r="B60" s="1" t="n">
        <f aca="false">IF(Pertenencia!B60=1,Plan!$I60,0)</f>
        <v>1</v>
      </c>
      <c r="C60" s="1" t="n">
        <f aca="false">IF(Pertenencia!C60=1,Plan!$I60,0)</f>
        <v>0</v>
      </c>
      <c r="D60" s="1" t="n">
        <f aca="false">IF(Pertenencia!D60=1,Plan!$I60,0)</f>
        <v>0</v>
      </c>
      <c r="E60" s="1" t="n">
        <f aca="false">IF(Pertenencia!E60=1,Plan!$I60,0)</f>
        <v>0</v>
      </c>
      <c r="F60" s="1" t="n">
        <f aca="false">IF(Pertenencia!F60=1,Plan!$I60,0)</f>
        <v>0</v>
      </c>
      <c r="G60" s="1" t="n">
        <f aca="false">IF(Pertenencia!G60=1,Plan!$I60,0)</f>
        <v>0</v>
      </c>
      <c r="H60" s="1" t="n">
        <f aca="false">IF(Pertenencia!H60=1,Plan!$I60,0)</f>
        <v>0</v>
      </c>
      <c r="I60" s="1" t="n">
        <f aca="false">IF(Pertenencia!I60=1,Plan!$I60,0)</f>
        <v>0</v>
      </c>
      <c r="J60" s="1" t="n">
        <f aca="false">IF(Pertenencia!J60=1,Plan!$I60,0)</f>
        <v>1</v>
      </c>
      <c r="K60" s="1" t="n">
        <f aca="false">IF(Pertenencia!K60=1,Plan!$I60,0)</f>
        <v>1</v>
      </c>
      <c r="L60" s="1" t="n">
        <f aca="false">IF(Pertenencia!L60=1,Plan!$I60,0)</f>
        <v>0</v>
      </c>
      <c r="M60" s="1" t="n">
        <f aca="false">IF(Pertenencia!M60=1,Plan!$I60,0)</f>
        <v>0</v>
      </c>
    </row>
    <row r="61" customFormat="false" ht="15" hidden="false" customHeight="true" outlineLevel="0" collapsed="false">
      <c r="A61" s="1" t="s">
        <v>279</v>
      </c>
      <c r="B61" s="1" t="n">
        <f aca="false">IF(Pertenencia!B61=1,Plan!$I61,0)</f>
        <v>0</v>
      </c>
      <c r="C61" s="1" t="n">
        <f aca="false">IF(Pertenencia!C61=1,Plan!$I61,0)</f>
        <v>0</v>
      </c>
      <c r="D61" s="1" t="n">
        <f aca="false">IF(Pertenencia!D61=1,Plan!$I61,0)</f>
        <v>0</v>
      </c>
      <c r="E61" s="1" t="n">
        <f aca="false">IF(Pertenencia!E61=1,Plan!$I61,0)</f>
        <v>0</v>
      </c>
      <c r="F61" s="1" t="n">
        <f aca="false">IF(Pertenencia!F61=1,Plan!$I61,0)</f>
        <v>0</v>
      </c>
      <c r="G61" s="1" t="n">
        <f aca="false">IF(Pertenencia!G61=1,Plan!$I61,0)</f>
        <v>2</v>
      </c>
      <c r="H61" s="1" t="n">
        <f aca="false">IF(Pertenencia!H61=1,Plan!$I61,0)</f>
        <v>0</v>
      </c>
      <c r="I61" s="1" t="n">
        <f aca="false">IF(Pertenencia!I61=1,Plan!$I61,0)</f>
        <v>0</v>
      </c>
      <c r="J61" s="1" t="n">
        <f aca="false">IF(Pertenencia!J61=1,Plan!$I61,0)</f>
        <v>2</v>
      </c>
      <c r="K61" s="1" t="n">
        <f aca="false">IF(Pertenencia!K61=1,Plan!$I61,0)</f>
        <v>2</v>
      </c>
      <c r="L61" s="1" t="n">
        <f aca="false">IF(Pertenencia!L61=1,Plan!$I61,0)</f>
        <v>0</v>
      </c>
      <c r="M61" s="1" t="n">
        <f aca="false">IF(Pertenencia!M61=1,Plan!$I61,0)</f>
        <v>0</v>
      </c>
    </row>
    <row r="62" customFormat="false" ht="15" hidden="false" customHeight="true" outlineLevel="0" collapsed="false">
      <c r="A62" s="1" t="s">
        <v>282</v>
      </c>
      <c r="B62" s="1" t="n">
        <f aca="false">IF(Pertenencia!B62=1,Plan!$I62,0)</f>
        <v>0</v>
      </c>
      <c r="C62" s="1" t="n">
        <f aca="false">IF(Pertenencia!C62=1,Plan!$I62,0)</f>
        <v>0</v>
      </c>
      <c r="D62" s="1" t="n">
        <f aca="false">IF(Pertenencia!D62=1,Plan!$I62,0)</f>
        <v>0</v>
      </c>
      <c r="E62" s="1" t="n">
        <f aca="false">IF(Pertenencia!E62=1,Plan!$I62,0)</f>
        <v>0</v>
      </c>
      <c r="F62" s="1" t="n">
        <f aca="false">IF(Pertenencia!F62=1,Plan!$I62,0)</f>
        <v>0</v>
      </c>
      <c r="G62" s="1" t="n">
        <f aca="false">IF(Pertenencia!G62=1,Plan!$I62,0)</f>
        <v>2</v>
      </c>
      <c r="H62" s="1" t="n">
        <f aca="false">IF(Pertenencia!H62=1,Plan!$I62,0)</f>
        <v>0</v>
      </c>
      <c r="I62" s="1" t="n">
        <f aca="false">IF(Pertenencia!I62=1,Plan!$I62,0)</f>
        <v>0</v>
      </c>
      <c r="J62" s="1" t="n">
        <f aca="false">IF(Pertenencia!J62=1,Plan!$I62,0)</f>
        <v>0</v>
      </c>
      <c r="K62" s="1" t="n">
        <f aca="false">IF(Pertenencia!K62=1,Plan!$I62,0)</f>
        <v>2</v>
      </c>
      <c r="L62" s="1" t="n">
        <f aca="false">IF(Pertenencia!L62=1,Plan!$I62,0)</f>
        <v>0</v>
      </c>
      <c r="M62" s="1" t="n">
        <f aca="false">IF(Pertenencia!M62=1,Plan!$I62,0)</f>
        <v>0</v>
      </c>
    </row>
    <row r="63" customFormat="false" ht="15" hidden="false" customHeight="true" outlineLevel="0" collapsed="false">
      <c r="A63" s="1" t="s">
        <v>286</v>
      </c>
      <c r="B63" s="1" t="n">
        <f aca="false">IF(Pertenencia!B63=1,Plan!$I63,0)</f>
        <v>0</v>
      </c>
      <c r="C63" s="1" t="n">
        <f aca="false">IF(Pertenencia!C63=1,Plan!$I63,0)</f>
        <v>0</v>
      </c>
      <c r="D63" s="1" t="n">
        <f aca="false">IF(Pertenencia!D63=1,Plan!$I63,0)</f>
        <v>0</v>
      </c>
      <c r="E63" s="1" t="n">
        <f aca="false">IF(Pertenencia!E63=1,Plan!$I63,0)</f>
        <v>0</v>
      </c>
      <c r="F63" s="1" t="n">
        <f aca="false">IF(Pertenencia!F63=1,Plan!$I63,0)</f>
        <v>0</v>
      </c>
      <c r="G63" s="1" t="n">
        <f aca="false">IF(Pertenencia!G63=1,Plan!$I63,0)</f>
        <v>1</v>
      </c>
      <c r="H63" s="1" t="n">
        <f aca="false">IF(Pertenencia!H63=1,Plan!$I63,0)</f>
        <v>0</v>
      </c>
      <c r="I63" s="1" t="n">
        <f aca="false">IF(Pertenencia!I63=1,Plan!$I63,0)</f>
        <v>0</v>
      </c>
      <c r="J63" s="1" t="n">
        <f aca="false">IF(Pertenencia!J63=1,Plan!$I63,0)</f>
        <v>1</v>
      </c>
      <c r="K63" s="1" t="n">
        <f aca="false">IF(Pertenencia!K63=1,Plan!$I63,0)</f>
        <v>1</v>
      </c>
      <c r="L63" s="1" t="n">
        <f aca="false">IF(Pertenencia!L63=1,Plan!$I63,0)</f>
        <v>0</v>
      </c>
      <c r="M63" s="1" t="n">
        <f aca="false">IF(Pertenencia!M63=1,Plan!$I63,0)</f>
        <v>0</v>
      </c>
    </row>
    <row r="64" customFormat="false" ht="15" hidden="false" customHeight="true" outlineLevel="0" collapsed="false">
      <c r="A64" s="1" t="s">
        <v>290</v>
      </c>
      <c r="B64" s="1" t="n">
        <f aca="false">IF(Pertenencia!B64=1,Plan!$I64,0)</f>
        <v>2</v>
      </c>
      <c r="C64" s="1" t="n">
        <f aca="false">IF(Pertenencia!C64=1,Plan!$I64,0)</f>
        <v>2</v>
      </c>
      <c r="D64" s="1" t="n">
        <f aca="false">IF(Pertenencia!D64=1,Plan!$I64,0)</f>
        <v>2</v>
      </c>
      <c r="E64" s="1" t="n">
        <f aca="false">IF(Pertenencia!E64=1,Plan!$I64,0)</f>
        <v>2</v>
      </c>
      <c r="F64" s="1" t="n">
        <f aca="false">IF(Pertenencia!F64=1,Plan!$I64,0)</f>
        <v>2</v>
      </c>
      <c r="G64" s="1" t="n">
        <f aca="false">IF(Pertenencia!G64=1,Plan!$I64,0)</f>
        <v>2</v>
      </c>
      <c r="H64" s="1" t="n">
        <f aca="false">IF(Pertenencia!H64=1,Plan!$I64,0)</f>
        <v>0</v>
      </c>
      <c r="I64" s="1" t="n">
        <f aca="false">IF(Pertenencia!I64=1,Plan!$I64,0)</f>
        <v>0</v>
      </c>
      <c r="J64" s="1" t="n">
        <f aca="false">IF(Pertenencia!J64=1,Plan!$I64,0)</f>
        <v>2</v>
      </c>
      <c r="K64" s="1" t="n">
        <f aca="false">IF(Pertenencia!K64=1,Plan!$I64,0)</f>
        <v>2</v>
      </c>
      <c r="L64" s="1" t="n">
        <f aca="false">IF(Pertenencia!L64=1,Plan!$I64,0)</f>
        <v>2</v>
      </c>
      <c r="M64" s="1" t="n">
        <f aca="false">IF(Pertenencia!M64=1,Plan!$I64,0)</f>
        <v>0</v>
      </c>
    </row>
    <row r="65" customFormat="false" ht="15" hidden="false" customHeight="true" outlineLevel="0" collapsed="false">
      <c r="A65" s="1" t="s">
        <v>293</v>
      </c>
      <c r="B65" s="1" t="n">
        <f aca="false">IF(Pertenencia!B65=1,Plan!$I65,0)</f>
        <v>2</v>
      </c>
      <c r="C65" s="1" t="n">
        <f aca="false">IF(Pertenencia!C65=1,Plan!$I65,0)</f>
        <v>2</v>
      </c>
      <c r="D65" s="1" t="n">
        <f aca="false">IF(Pertenencia!D65=1,Plan!$I65,0)</f>
        <v>2</v>
      </c>
      <c r="E65" s="1" t="n">
        <f aca="false">IF(Pertenencia!E65=1,Plan!$I65,0)</f>
        <v>2</v>
      </c>
      <c r="F65" s="1" t="n">
        <f aca="false">IF(Pertenencia!F65=1,Plan!$I65,0)</f>
        <v>2</v>
      </c>
      <c r="G65" s="1" t="n">
        <f aca="false">IF(Pertenencia!G65=1,Plan!$I65,0)</f>
        <v>0</v>
      </c>
      <c r="H65" s="1" t="n">
        <f aca="false">IF(Pertenencia!H65=1,Plan!$I65,0)</f>
        <v>0</v>
      </c>
      <c r="I65" s="1" t="n">
        <f aca="false">IF(Pertenencia!I65=1,Plan!$I65,0)</f>
        <v>0</v>
      </c>
      <c r="J65" s="1" t="n">
        <f aca="false">IF(Pertenencia!J65=1,Plan!$I65,0)</f>
        <v>0</v>
      </c>
      <c r="K65" s="1" t="n">
        <f aca="false">IF(Pertenencia!K65=1,Plan!$I65,0)</f>
        <v>2</v>
      </c>
      <c r="L65" s="1" t="n">
        <f aca="false">IF(Pertenencia!L65=1,Plan!$I65,0)</f>
        <v>2</v>
      </c>
      <c r="M65" s="1" t="n">
        <f aca="false">IF(Pertenencia!M65=1,Plan!$I65,0)</f>
        <v>0</v>
      </c>
    </row>
    <row r="66" customFormat="false" ht="15" hidden="false" customHeight="true" outlineLevel="0" collapsed="false">
      <c r="A66" s="1" t="s">
        <v>296</v>
      </c>
      <c r="B66" s="1" t="n">
        <f aca="false">IF(Pertenencia!B66=1,Plan!$I66,0)</f>
        <v>2</v>
      </c>
      <c r="C66" s="1" t="n">
        <f aca="false">IF(Pertenencia!C66=1,Plan!$I66,0)</f>
        <v>0</v>
      </c>
      <c r="D66" s="1" t="n">
        <f aca="false">IF(Pertenencia!D66=1,Plan!$I66,0)</f>
        <v>0</v>
      </c>
      <c r="E66" s="1" t="n">
        <f aca="false">IF(Pertenencia!E66=1,Plan!$I66,0)</f>
        <v>0</v>
      </c>
      <c r="F66" s="1" t="n">
        <f aca="false">IF(Pertenencia!F66=1,Plan!$I66,0)</f>
        <v>0</v>
      </c>
      <c r="G66" s="1" t="n">
        <f aca="false">IF(Pertenencia!G66=1,Plan!$I66,0)</f>
        <v>0</v>
      </c>
      <c r="H66" s="1" t="n">
        <f aca="false">IF(Pertenencia!H66=1,Plan!$I66,0)</f>
        <v>0</v>
      </c>
      <c r="I66" s="1" t="n">
        <f aca="false">IF(Pertenencia!I66=1,Plan!$I66,0)</f>
        <v>0</v>
      </c>
      <c r="J66" s="1" t="n">
        <f aca="false">IF(Pertenencia!J66=1,Plan!$I66,0)</f>
        <v>0</v>
      </c>
      <c r="K66" s="1" t="n">
        <f aca="false">IF(Pertenencia!K66=1,Plan!$I66,0)</f>
        <v>0</v>
      </c>
      <c r="L66" s="1" t="n">
        <f aca="false">IF(Pertenencia!L66=1,Plan!$I66,0)</f>
        <v>0</v>
      </c>
      <c r="M66" s="1" t="n">
        <f aca="false">IF(Pertenencia!M66=1,Plan!$I66,0)</f>
        <v>0</v>
      </c>
    </row>
    <row r="67" customFormat="false" ht="15" hidden="false" customHeight="true" outlineLevel="0" collapsed="false">
      <c r="A67" s="1" t="s">
        <v>300</v>
      </c>
      <c r="B67" s="1" t="n">
        <f aca="false">IF(Pertenencia!B67=1,Plan!$I67,0)</f>
        <v>0</v>
      </c>
      <c r="C67" s="1" t="n">
        <f aca="false">IF(Pertenencia!C67=1,Plan!$I67,0)</f>
        <v>0</v>
      </c>
      <c r="D67" s="1" t="n">
        <f aca="false">IF(Pertenencia!D67=1,Plan!$I67,0)</f>
        <v>0</v>
      </c>
      <c r="E67" s="1" t="n">
        <f aca="false">IF(Pertenencia!E67=1,Plan!$I67,0)</f>
        <v>0</v>
      </c>
      <c r="F67" s="1" t="n">
        <f aca="false">IF(Pertenencia!F67=1,Plan!$I67,0)</f>
        <v>0</v>
      </c>
      <c r="G67" s="1" t="n">
        <f aca="false">IF(Pertenencia!G67=1,Plan!$I67,0)</f>
        <v>0</v>
      </c>
      <c r="H67" s="1" t="n">
        <f aca="false">IF(Pertenencia!H67=1,Plan!$I67,0)</f>
        <v>0</v>
      </c>
      <c r="I67" s="1" t="n">
        <f aca="false">IF(Pertenencia!I67=1,Plan!$I67,0)</f>
        <v>0</v>
      </c>
      <c r="J67" s="1" t="n">
        <f aca="false">IF(Pertenencia!J67=1,Plan!$I67,0)</f>
        <v>0</v>
      </c>
      <c r="K67" s="1" t="n">
        <f aca="false">IF(Pertenencia!K67=1,Plan!$I67,0)</f>
        <v>0</v>
      </c>
      <c r="L67" s="1" t="n">
        <f aca="false">IF(Pertenencia!L67=1,Plan!$I67,0)</f>
        <v>2</v>
      </c>
      <c r="M67" s="1" t="n">
        <f aca="false">IF(Pertenencia!M67=1,Plan!$I67,0)</f>
        <v>0</v>
      </c>
    </row>
    <row r="68" customFormat="false" ht="15" hidden="false" customHeight="true" outlineLevel="0" collapsed="false">
      <c r="A68" s="1" t="s">
        <v>304</v>
      </c>
      <c r="B68" s="1" t="n">
        <f aca="false">IF(Pertenencia!B68=1,Plan!$I68,0)</f>
        <v>3</v>
      </c>
      <c r="C68" s="1" t="n">
        <f aca="false">IF(Pertenencia!C68=1,Plan!$I68,0)</f>
        <v>0</v>
      </c>
      <c r="D68" s="1" t="n">
        <f aca="false">IF(Pertenencia!D68=1,Plan!$I68,0)</f>
        <v>0</v>
      </c>
      <c r="E68" s="1" t="n">
        <f aca="false">IF(Pertenencia!E68=1,Plan!$I68,0)</f>
        <v>0</v>
      </c>
      <c r="F68" s="1" t="n">
        <f aca="false">IF(Pertenencia!F68=1,Plan!$I68,0)</f>
        <v>0</v>
      </c>
      <c r="G68" s="1" t="n">
        <f aca="false">IF(Pertenencia!G68=1,Plan!$I68,0)</f>
        <v>0</v>
      </c>
      <c r="H68" s="1" t="n">
        <f aca="false">IF(Pertenencia!H68=1,Plan!$I68,0)</f>
        <v>0</v>
      </c>
      <c r="I68" s="1" t="n">
        <f aca="false">IF(Pertenencia!I68=1,Plan!$I68,0)</f>
        <v>0</v>
      </c>
      <c r="J68" s="1" t="n">
        <f aca="false">IF(Pertenencia!J68=1,Plan!$I68,0)</f>
        <v>0</v>
      </c>
      <c r="K68" s="1" t="n">
        <f aca="false">IF(Pertenencia!K68=1,Plan!$I68,0)</f>
        <v>3</v>
      </c>
      <c r="L68" s="1" t="n">
        <f aca="false">IF(Pertenencia!L68=1,Plan!$I68,0)</f>
        <v>0</v>
      </c>
      <c r="M68" s="1" t="n">
        <f aca="false">IF(Pertenencia!M68=1,Plan!$I68,0)</f>
        <v>0</v>
      </c>
    </row>
    <row r="69" customFormat="false" ht="15" hidden="false" customHeight="true" outlineLevel="0" collapsed="false">
      <c r="A69" s="1" t="s">
        <v>308</v>
      </c>
      <c r="B69" s="1" t="n">
        <f aca="false">IF(Pertenencia!B69=1,Plan!$I69,0)</f>
        <v>2</v>
      </c>
      <c r="C69" s="1" t="n">
        <f aca="false">IF(Pertenencia!C69=1,Plan!$I69,0)</f>
        <v>2</v>
      </c>
      <c r="D69" s="1" t="n">
        <f aca="false">IF(Pertenencia!D69=1,Plan!$I69,0)</f>
        <v>0</v>
      </c>
      <c r="E69" s="1" t="n">
        <f aca="false">IF(Pertenencia!E69=1,Plan!$I69,0)</f>
        <v>0</v>
      </c>
      <c r="F69" s="1" t="n">
        <f aca="false">IF(Pertenencia!F69=1,Plan!$I69,0)</f>
        <v>0</v>
      </c>
      <c r="G69" s="1" t="n">
        <f aca="false">IF(Pertenencia!G69=1,Plan!$I69,0)</f>
        <v>0</v>
      </c>
      <c r="H69" s="1" t="n">
        <f aca="false">IF(Pertenencia!H69=1,Plan!$I69,0)</f>
        <v>0</v>
      </c>
      <c r="I69" s="1" t="n">
        <f aca="false">IF(Pertenencia!I69=1,Plan!$I69,0)</f>
        <v>0</v>
      </c>
      <c r="J69" s="1" t="n">
        <f aca="false">IF(Pertenencia!J69=1,Plan!$I69,0)</f>
        <v>0</v>
      </c>
      <c r="K69" s="1" t="n">
        <f aca="false">IF(Pertenencia!K69=1,Plan!$I69,0)</f>
        <v>0</v>
      </c>
      <c r="L69" s="1" t="n">
        <f aca="false">IF(Pertenencia!L69=1,Plan!$I69,0)</f>
        <v>0</v>
      </c>
      <c r="M69" s="1" t="n">
        <f aca="false">IF(Pertenencia!M69=1,Plan!$I69,0)</f>
        <v>0</v>
      </c>
    </row>
    <row r="70" customFormat="false" ht="15" hidden="false" customHeight="true" outlineLevel="0" collapsed="false">
      <c r="A70" s="1" t="s">
        <v>312</v>
      </c>
      <c r="B70" s="1" t="n">
        <f aca="false">IF(Pertenencia!B70=1,Plan!$I70,0)</f>
        <v>2</v>
      </c>
      <c r="C70" s="1" t="n">
        <f aca="false">IF(Pertenencia!C70=1,Plan!$I70,0)</f>
        <v>0</v>
      </c>
      <c r="D70" s="1" t="n">
        <f aca="false">IF(Pertenencia!D70=1,Plan!$I70,0)</f>
        <v>0</v>
      </c>
      <c r="E70" s="1" t="n">
        <f aca="false">IF(Pertenencia!E70=1,Plan!$I70,0)</f>
        <v>0</v>
      </c>
      <c r="F70" s="1" t="n">
        <f aca="false">IF(Pertenencia!F70=1,Plan!$I70,0)</f>
        <v>0</v>
      </c>
      <c r="G70" s="1" t="n">
        <f aca="false">IF(Pertenencia!G70=1,Plan!$I70,0)</f>
        <v>0</v>
      </c>
      <c r="H70" s="1" t="n">
        <f aca="false">IF(Pertenencia!H70=1,Plan!$I70,0)</f>
        <v>0</v>
      </c>
      <c r="I70" s="1" t="n">
        <f aca="false">IF(Pertenencia!I70=1,Plan!$I70,0)</f>
        <v>0</v>
      </c>
      <c r="J70" s="1" t="n">
        <f aca="false">IF(Pertenencia!J70=1,Plan!$I70,0)</f>
        <v>0</v>
      </c>
      <c r="K70" s="1" t="n">
        <f aca="false">IF(Pertenencia!K70=1,Plan!$I70,0)</f>
        <v>0</v>
      </c>
      <c r="L70" s="1" t="n">
        <f aca="false">IF(Pertenencia!L70=1,Plan!$I70,0)</f>
        <v>0</v>
      </c>
      <c r="M70" s="1" t="n">
        <f aca="false">IF(Pertenencia!M70=1,Plan!$I70,0)</f>
        <v>0</v>
      </c>
    </row>
    <row r="71" customFormat="false" ht="15" hidden="false" customHeight="true" outlineLevel="0" collapsed="false">
      <c r="A71" s="1" t="s">
        <v>316</v>
      </c>
      <c r="B71" s="1" t="n">
        <f aca="false">IF(Pertenencia!B71=1,Plan!$I71,0)</f>
        <v>0</v>
      </c>
      <c r="C71" s="1" t="n">
        <f aca="false">IF(Pertenencia!C71=1,Plan!$I71,0)</f>
        <v>0</v>
      </c>
      <c r="D71" s="1" t="n">
        <f aca="false">IF(Pertenencia!D71=1,Plan!$I71,0)</f>
        <v>0</v>
      </c>
      <c r="E71" s="1" t="n">
        <f aca="false">IF(Pertenencia!E71=1,Plan!$I71,0)</f>
        <v>2</v>
      </c>
      <c r="F71" s="1" t="n">
        <f aca="false">IF(Pertenencia!F71=1,Plan!$I71,0)</f>
        <v>0</v>
      </c>
      <c r="G71" s="1" t="n">
        <f aca="false">IF(Pertenencia!G71=1,Plan!$I71,0)</f>
        <v>0</v>
      </c>
      <c r="H71" s="1" t="n">
        <f aca="false">IF(Pertenencia!H71=1,Plan!$I71,0)</f>
        <v>0</v>
      </c>
      <c r="I71" s="1" t="n">
        <f aca="false">IF(Pertenencia!I71=1,Plan!$I71,0)</f>
        <v>0</v>
      </c>
      <c r="J71" s="1" t="n">
        <f aca="false">IF(Pertenencia!J71=1,Plan!$I71,0)</f>
        <v>0</v>
      </c>
      <c r="K71" s="1" t="n">
        <f aca="false">IF(Pertenencia!K71=1,Plan!$I71,0)</f>
        <v>0</v>
      </c>
      <c r="L71" s="1" t="n">
        <f aca="false">IF(Pertenencia!L71=1,Plan!$I71,0)</f>
        <v>0</v>
      </c>
      <c r="M71" s="1" t="n">
        <f aca="false">IF(Pertenencia!M71=1,Plan!$I71,0)</f>
        <v>0</v>
      </c>
    </row>
    <row r="72" customFormat="false" ht="15" hidden="false" customHeight="true" outlineLevel="0" collapsed="false">
      <c r="A72" s="1" t="s">
        <v>320</v>
      </c>
      <c r="B72" s="1" t="n">
        <f aca="false">IF(Pertenencia!B72=1,Plan!$I72,0)</f>
        <v>0</v>
      </c>
      <c r="C72" s="1" t="n">
        <f aca="false">IF(Pertenencia!C72=1,Plan!$I72,0)</f>
        <v>0</v>
      </c>
      <c r="D72" s="1" t="n">
        <f aca="false">IF(Pertenencia!D72=1,Plan!$I72,0)</f>
        <v>0</v>
      </c>
      <c r="E72" s="1" t="n">
        <f aca="false">IF(Pertenencia!E72=1,Plan!$I72,0)</f>
        <v>0</v>
      </c>
      <c r="F72" s="1" t="n">
        <f aca="false">IF(Pertenencia!F72=1,Plan!$I72,0)</f>
        <v>1</v>
      </c>
      <c r="G72" s="1" t="n">
        <f aca="false">IF(Pertenencia!G72=1,Plan!$I72,0)</f>
        <v>0</v>
      </c>
      <c r="H72" s="1" t="n">
        <f aca="false">IF(Pertenencia!H72=1,Plan!$I72,0)</f>
        <v>0</v>
      </c>
      <c r="I72" s="1" t="n">
        <f aca="false">IF(Pertenencia!I72=1,Plan!$I72,0)</f>
        <v>0</v>
      </c>
      <c r="J72" s="1" t="n">
        <f aca="false">IF(Pertenencia!J72=1,Plan!$I72,0)</f>
        <v>0</v>
      </c>
      <c r="K72" s="1" t="n">
        <f aca="false">IF(Pertenencia!K72=1,Plan!$I72,0)</f>
        <v>0</v>
      </c>
      <c r="L72" s="1" t="n">
        <f aca="false">IF(Pertenencia!L72=1,Plan!$I72,0)</f>
        <v>0</v>
      </c>
      <c r="M72" s="1" t="n">
        <f aca="false">IF(Pertenencia!M72=1,Plan!$I72,0)</f>
        <v>0</v>
      </c>
    </row>
    <row r="73" customFormat="false" ht="15" hidden="false" customHeight="true" outlineLevel="0" collapsed="false">
      <c r="A73" s="1" t="s">
        <v>324</v>
      </c>
      <c r="B73" s="1" t="n">
        <f aca="false">IF(Pertenencia!B73=1,Plan!$I73,0)</f>
        <v>0</v>
      </c>
      <c r="C73" s="1" t="n">
        <f aca="false">IF(Pertenencia!C73=1,Plan!$I73,0)</f>
        <v>2</v>
      </c>
      <c r="D73" s="1" t="n">
        <f aca="false">IF(Pertenencia!D73=1,Plan!$I73,0)</f>
        <v>0</v>
      </c>
      <c r="E73" s="1" t="n">
        <f aca="false">IF(Pertenencia!E73=1,Plan!$I73,0)</f>
        <v>2</v>
      </c>
      <c r="F73" s="1" t="n">
        <f aca="false">IF(Pertenencia!F73=1,Plan!$I73,0)</f>
        <v>2</v>
      </c>
      <c r="G73" s="1" t="n">
        <f aca="false">IF(Pertenencia!G73=1,Plan!$I73,0)</f>
        <v>0</v>
      </c>
      <c r="H73" s="1" t="n">
        <f aca="false">IF(Pertenencia!H73=1,Plan!$I73,0)</f>
        <v>0</v>
      </c>
      <c r="I73" s="1" t="n">
        <f aca="false">IF(Pertenencia!I73=1,Plan!$I73,0)</f>
        <v>0</v>
      </c>
      <c r="J73" s="1" t="n">
        <f aca="false">IF(Pertenencia!J73=1,Plan!$I73,0)</f>
        <v>0</v>
      </c>
      <c r="K73" s="1" t="n">
        <f aca="false">IF(Pertenencia!K73=1,Plan!$I73,0)</f>
        <v>0</v>
      </c>
      <c r="L73" s="1" t="n">
        <f aca="false">IF(Pertenencia!L73=1,Plan!$I73,0)</f>
        <v>0</v>
      </c>
      <c r="M73" s="1" t="n">
        <f aca="false">IF(Pertenencia!M73=1,Plan!$I73,0)</f>
        <v>0</v>
      </c>
    </row>
    <row r="74" customFormat="false" ht="15" hidden="false" customHeight="true" outlineLevel="0" collapsed="false">
      <c r="A74" s="1" t="s">
        <v>328</v>
      </c>
      <c r="B74" s="1" t="n">
        <f aca="false">IF(Pertenencia!B74=1,Plan!$I74,0)</f>
        <v>0</v>
      </c>
      <c r="C74" s="1" t="n">
        <f aca="false">IF(Pertenencia!C74=1,Plan!$I74,0)</f>
        <v>0</v>
      </c>
      <c r="D74" s="1" t="n">
        <f aca="false">IF(Pertenencia!D74=1,Plan!$I74,0)</f>
        <v>2</v>
      </c>
      <c r="E74" s="1" t="n">
        <f aca="false">IF(Pertenencia!E74=1,Plan!$I74,0)</f>
        <v>0</v>
      </c>
      <c r="F74" s="1" t="n">
        <f aca="false">IF(Pertenencia!F74=1,Plan!$I74,0)</f>
        <v>0</v>
      </c>
      <c r="G74" s="1" t="n">
        <f aca="false">IF(Pertenencia!G74=1,Plan!$I74,0)</f>
        <v>0</v>
      </c>
      <c r="H74" s="1" t="n">
        <f aca="false">IF(Pertenencia!H74=1,Plan!$I74,0)</f>
        <v>0</v>
      </c>
      <c r="I74" s="1" t="n">
        <f aca="false">IF(Pertenencia!I74=1,Plan!$I74,0)</f>
        <v>0</v>
      </c>
      <c r="J74" s="1" t="n">
        <f aca="false">IF(Pertenencia!J74=1,Plan!$I74,0)</f>
        <v>0</v>
      </c>
      <c r="K74" s="1" t="n">
        <f aca="false">IF(Pertenencia!K74=1,Plan!$I74,0)</f>
        <v>0</v>
      </c>
      <c r="L74" s="1" t="n">
        <f aca="false">IF(Pertenencia!L74=1,Plan!$I74,0)</f>
        <v>0</v>
      </c>
      <c r="M74" s="1" t="n">
        <f aca="false">IF(Pertenencia!M74=1,Plan!$I74,0)</f>
        <v>0</v>
      </c>
    </row>
    <row r="75" customFormat="false" ht="15" hidden="false" customHeight="true" outlineLevel="0" collapsed="false">
      <c r="A75" s="1" t="s">
        <v>332</v>
      </c>
      <c r="B75" s="1" t="n">
        <f aca="false">IF(Pertenencia!B75=1,Plan!$I75,0)</f>
        <v>0</v>
      </c>
      <c r="C75" s="1" t="n">
        <f aca="false">IF(Pertenencia!C75=1,Plan!$I75,0)</f>
        <v>0</v>
      </c>
      <c r="D75" s="1" t="n">
        <f aca="false">IF(Pertenencia!D75=1,Plan!$I75,0)</f>
        <v>1</v>
      </c>
      <c r="E75" s="1" t="n">
        <f aca="false">IF(Pertenencia!E75=1,Plan!$I75,0)</f>
        <v>0</v>
      </c>
      <c r="F75" s="1" t="n">
        <f aca="false">IF(Pertenencia!F75=1,Plan!$I75,0)</f>
        <v>0</v>
      </c>
      <c r="G75" s="1" t="n">
        <f aca="false">IF(Pertenencia!G75=1,Plan!$I75,0)</f>
        <v>0</v>
      </c>
      <c r="H75" s="1" t="n">
        <f aca="false">IF(Pertenencia!H75=1,Plan!$I75,0)</f>
        <v>0</v>
      </c>
      <c r="I75" s="1" t="n">
        <f aca="false">IF(Pertenencia!I75=1,Plan!$I75,0)</f>
        <v>0</v>
      </c>
      <c r="J75" s="1" t="n">
        <f aca="false">IF(Pertenencia!J75=1,Plan!$I75,0)</f>
        <v>0</v>
      </c>
      <c r="K75" s="1" t="n">
        <f aca="false">IF(Pertenencia!K75=1,Plan!$I75,0)</f>
        <v>0</v>
      </c>
      <c r="L75" s="1" t="n">
        <f aca="false">IF(Pertenencia!L75=1,Plan!$I75,0)</f>
        <v>0</v>
      </c>
      <c r="M75" s="1" t="n">
        <f aca="false">IF(Pertenencia!M75=1,Plan!$I75,0)</f>
        <v>0</v>
      </c>
    </row>
    <row r="76" customFormat="false" ht="15" hidden="false" customHeight="true" outlineLevel="0" collapsed="false">
      <c r="A76" s="1" t="s">
        <v>336</v>
      </c>
      <c r="B76" s="1" t="n">
        <f aca="false">IF(Pertenencia!B76=1,Plan!$I76,0)</f>
        <v>2</v>
      </c>
      <c r="C76" s="1" t="n">
        <f aca="false">IF(Pertenencia!C76=1,Plan!$I76,0)</f>
        <v>0</v>
      </c>
      <c r="D76" s="1" t="n">
        <f aca="false">IF(Pertenencia!D76=1,Plan!$I76,0)</f>
        <v>0</v>
      </c>
      <c r="E76" s="1" t="n">
        <f aca="false">IF(Pertenencia!E76=1,Plan!$I76,0)</f>
        <v>0</v>
      </c>
      <c r="F76" s="1" t="n">
        <f aca="false">IF(Pertenencia!F76=1,Plan!$I76,0)</f>
        <v>0</v>
      </c>
      <c r="G76" s="1" t="n">
        <f aca="false">IF(Pertenencia!G76=1,Plan!$I76,0)</f>
        <v>0</v>
      </c>
      <c r="H76" s="1" t="n">
        <f aca="false">IF(Pertenencia!H76=1,Plan!$I76,0)</f>
        <v>0</v>
      </c>
      <c r="I76" s="1" t="n">
        <f aca="false">IF(Pertenencia!I76=1,Plan!$I76,0)</f>
        <v>0</v>
      </c>
      <c r="J76" s="1" t="n">
        <f aca="false">IF(Pertenencia!J76=1,Plan!$I76,0)</f>
        <v>0</v>
      </c>
      <c r="K76" s="1" t="n">
        <f aca="false">IF(Pertenencia!K76=1,Plan!$I76,0)</f>
        <v>0</v>
      </c>
      <c r="L76" s="1" t="n">
        <f aca="false">IF(Pertenencia!L76=1,Plan!$I76,0)</f>
        <v>0</v>
      </c>
      <c r="M76" s="1" t="n">
        <f aca="false">IF(Pertenencia!M76=1,Plan!$I76,0)</f>
        <v>0</v>
      </c>
    </row>
    <row r="77" customFormat="false" ht="15" hidden="false" customHeight="true" outlineLevel="0" collapsed="false">
      <c r="A77" s="1" t="s">
        <v>340</v>
      </c>
      <c r="B77" s="1" t="n">
        <f aca="false">IF(Pertenencia!B77=1,Plan!$I77,0)</f>
        <v>2</v>
      </c>
      <c r="C77" s="1" t="n">
        <f aca="false">IF(Pertenencia!C77=1,Plan!$I77,0)</f>
        <v>0</v>
      </c>
      <c r="D77" s="1" t="n">
        <f aca="false">IF(Pertenencia!D77=1,Plan!$I77,0)</f>
        <v>0</v>
      </c>
      <c r="E77" s="1" t="n">
        <f aca="false">IF(Pertenencia!E77=1,Plan!$I77,0)</f>
        <v>0</v>
      </c>
      <c r="F77" s="1" t="n">
        <f aca="false">IF(Pertenencia!F77=1,Plan!$I77,0)</f>
        <v>0</v>
      </c>
      <c r="G77" s="1" t="n">
        <f aca="false">IF(Pertenencia!G77=1,Plan!$I77,0)</f>
        <v>0</v>
      </c>
      <c r="H77" s="1" t="n">
        <f aca="false">IF(Pertenencia!H77=1,Plan!$I77,0)</f>
        <v>0</v>
      </c>
      <c r="I77" s="1" t="n">
        <f aca="false">IF(Pertenencia!I77=1,Plan!$I77,0)</f>
        <v>0</v>
      </c>
      <c r="J77" s="1" t="n">
        <f aca="false">IF(Pertenencia!J77=1,Plan!$I77,0)</f>
        <v>0</v>
      </c>
      <c r="K77" s="1" t="n">
        <f aca="false">IF(Pertenencia!K77=1,Plan!$I77,0)</f>
        <v>0</v>
      </c>
      <c r="L77" s="1" t="n">
        <f aca="false">IF(Pertenencia!L77=1,Plan!$I77,0)</f>
        <v>0</v>
      </c>
      <c r="M77" s="1" t="n">
        <f aca="false">IF(Pertenencia!M77=1,Plan!$I77,0)</f>
        <v>0</v>
      </c>
    </row>
    <row r="78" customFormat="false" ht="15" hidden="false" customHeight="true" outlineLevel="0" collapsed="false">
      <c r="A78" s="1" t="s">
        <v>344</v>
      </c>
      <c r="B78" s="1" t="n">
        <f aca="false">IF(Pertenencia!B78=1,Plan!$I78,0)</f>
        <v>2</v>
      </c>
      <c r="C78" s="1" t="n">
        <f aca="false">IF(Pertenencia!C78=1,Plan!$I78,0)</f>
        <v>0</v>
      </c>
      <c r="D78" s="1" t="n">
        <f aca="false">IF(Pertenencia!D78=1,Plan!$I78,0)</f>
        <v>0</v>
      </c>
      <c r="E78" s="1" t="n">
        <f aca="false">IF(Pertenencia!E78=1,Plan!$I78,0)</f>
        <v>0</v>
      </c>
      <c r="F78" s="1" t="n">
        <f aca="false">IF(Pertenencia!F78=1,Plan!$I78,0)</f>
        <v>0</v>
      </c>
      <c r="G78" s="1" t="n">
        <f aca="false">IF(Pertenencia!G78=1,Plan!$I78,0)</f>
        <v>2</v>
      </c>
      <c r="H78" s="1" t="n">
        <f aca="false">IF(Pertenencia!H78=1,Plan!$I78,0)</f>
        <v>0</v>
      </c>
      <c r="I78" s="1" t="n">
        <f aca="false">IF(Pertenencia!I78=1,Plan!$I78,0)</f>
        <v>0</v>
      </c>
      <c r="J78" s="1" t="n">
        <f aca="false">IF(Pertenencia!J78=1,Plan!$I78,0)</f>
        <v>2</v>
      </c>
      <c r="K78" s="1" t="n">
        <f aca="false">IF(Pertenencia!K78=1,Plan!$I78,0)</f>
        <v>2</v>
      </c>
      <c r="L78" s="1" t="n">
        <f aca="false">IF(Pertenencia!L78=1,Plan!$I78,0)</f>
        <v>0</v>
      </c>
      <c r="M78" s="1" t="n">
        <f aca="false">IF(Pertenencia!M78=1,Plan!$I78,0)</f>
        <v>0</v>
      </c>
    </row>
    <row r="79" customFormat="false" ht="15" hidden="false" customHeight="true" outlineLevel="0" collapsed="false">
      <c r="A79" s="1" t="s">
        <v>347</v>
      </c>
      <c r="B79" s="1" t="n">
        <f aca="false">IF(Pertenencia!B79=1,Plan!$I79,0)</f>
        <v>0</v>
      </c>
      <c r="C79" s="1" t="n">
        <f aca="false">IF(Pertenencia!C79=1,Plan!$I79,0)</f>
        <v>0</v>
      </c>
      <c r="D79" s="1" t="n">
        <f aca="false">IF(Pertenencia!D79=1,Plan!$I79,0)</f>
        <v>0</v>
      </c>
      <c r="E79" s="1" t="n">
        <f aca="false">IF(Pertenencia!E79=1,Plan!$I79,0)</f>
        <v>0</v>
      </c>
      <c r="F79" s="1" t="n">
        <f aca="false">IF(Pertenencia!F79=1,Plan!$I79,0)</f>
        <v>0</v>
      </c>
      <c r="G79" s="1" t="n">
        <f aca="false">IF(Pertenencia!G79=1,Plan!$I79,0)</f>
        <v>0</v>
      </c>
      <c r="H79" s="1" t="n">
        <f aca="false">IF(Pertenencia!H79=1,Plan!$I79,0)</f>
        <v>0</v>
      </c>
      <c r="I79" s="1" t="n">
        <f aca="false">IF(Pertenencia!I79=1,Plan!$I79,0)</f>
        <v>0</v>
      </c>
      <c r="J79" s="1" t="n">
        <f aca="false">IF(Pertenencia!J79=1,Plan!$I79,0)</f>
        <v>0</v>
      </c>
      <c r="K79" s="1" t="n">
        <f aca="false">IF(Pertenencia!K79=1,Plan!$I79,0)</f>
        <v>2</v>
      </c>
      <c r="L79" s="1" t="n">
        <f aca="false">IF(Pertenencia!L79=1,Plan!$I79,0)</f>
        <v>0</v>
      </c>
      <c r="M79" s="1" t="n">
        <f aca="false">IF(Pertenencia!M79=1,Plan!$I79,0)</f>
        <v>0</v>
      </c>
    </row>
    <row r="80" customFormat="false" ht="15" hidden="false" customHeight="true" outlineLevel="0" collapsed="false">
      <c r="A80" s="1" t="s">
        <v>351</v>
      </c>
      <c r="B80" s="1" t="n">
        <f aca="false">IF(Pertenencia!B80=1,Plan!$I80,0)</f>
        <v>0</v>
      </c>
      <c r="C80" s="1" t="n">
        <f aca="false">IF(Pertenencia!C80=1,Plan!$I80,0)</f>
        <v>0</v>
      </c>
      <c r="D80" s="1" t="n">
        <f aca="false">IF(Pertenencia!D80=1,Plan!$I80,0)</f>
        <v>0</v>
      </c>
      <c r="E80" s="1" t="n">
        <f aca="false">IF(Pertenencia!E80=1,Plan!$I80,0)</f>
        <v>0</v>
      </c>
      <c r="F80" s="1" t="n">
        <f aca="false">IF(Pertenencia!F80=1,Plan!$I80,0)</f>
        <v>0</v>
      </c>
      <c r="G80" s="1" t="n">
        <f aca="false">IF(Pertenencia!G80=1,Plan!$I80,0)</f>
        <v>0</v>
      </c>
      <c r="H80" s="1" t="n">
        <f aca="false">IF(Pertenencia!H80=1,Plan!$I80,0)</f>
        <v>0</v>
      </c>
      <c r="I80" s="1" t="n">
        <f aca="false">IF(Pertenencia!I80=1,Plan!$I80,0)</f>
        <v>0</v>
      </c>
      <c r="J80" s="1" t="n">
        <f aca="false">IF(Pertenencia!J80=1,Plan!$I80,0)</f>
        <v>0</v>
      </c>
      <c r="K80" s="1" t="n">
        <f aca="false">IF(Pertenencia!K80=1,Plan!$I80,0)</f>
        <v>1</v>
      </c>
      <c r="L80" s="1" t="n">
        <f aca="false">IF(Pertenencia!L80=1,Plan!$I80,0)</f>
        <v>0</v>
      </c>
      <c r="M80" s="1" t="n">
        <f aca="false">IF(Pertenencia!M80=1,Plan!$I80,0)</f>
        <v>0</v>
      </c>
    </row>
    <row r="81" customFormat="false" ht="15" hidden="false" customHeight="true" outlineLevel="0" collapsed="false">
      <c r="A81" s="1" t="s">
        <v>355</v>
      </c>
      <c r="B81" s="1" t="n">
        <f aca="false">IF(Pertenencia!B81=1,Plan!$I81,0)</f>
        <v>0</v>
      </c>
      <c r="C81" s="1" t="n">
        <f aca="false">IF(Pertenencia!C81=1,Plan!$I81,0)</f>
        <v>0</v>
      </c>
      <c r="D81" s="1" t="n">
        <f aca="false">IF(Pertenencia!D81=1,Plan!$I81,0)</f>
        <v>0</v>
      </c>
      <c r="E81" s="1" t="n">
        <f aca="false">IF(Pertenencia!E81=1,Plan!$I81,0)</f>
        <v>0</v>
      </c>
      <c r="F81" s="1" t="n">
        <f aca="false">IF(Pertenencia!F81=1,Plan!$I81,0)</f>
        <v>0</v>
      </c>
      <c r="G81" s="1" t="n">
        <f aca="false">IF(Pertenencia!G81=1,Plan!$I81,0)</f>
        <v>1</v>
      </c>
      <c r="H81" s="1" t="n">
        <f aca="false">IF(Pertenencia!H81=1,Plan!$I81,0)</f>
        <v>0</v>
      </c>
      <c r="I81" s="1" t="n">
        <f aca="false">IF(Pertenencia!I81=1,Plan!$I81,0)</f>
        <v>0</v>
      </c>
      <c r="J81" s="1" t="n">
        <f aca="false">IF(Pertenencia!J81=1,Plan!$I81,0)</f>
        <v>1</v>
      </c>
      <c r="K81" s="1" t="n">
        <f aca="false">IF(Pertenencia!K81=1,Plan!$I81,0)</f>
        <v>0</v>
      </c>
      <c r="L81" s="1" t="n">
        <f aca="false">IF(Pertenencia!L81=1,Plan!$I81,0)</f>
        <v>0</v>
      </c>
      <c r="M81" s="1" t="n">
        <f aca="false">IF(Pertenencia!M81=1,Plan!$I81,0)</f>
        <v>0</v>
      </c>
    </row>
    <row r="82" customFormat="false" ht="15" hidden="false" customHeight="true" outlineLevel="0" collapsed="false">
      <c r="A82" s="1" t="s">
        <v>359</v>
      </c>
      <c r="B82" s="1" t="n">
        <f aca="false">IF(Pertenencia!B82=1,Plan!$I82,0)</f>
        <v>0</v>
      </c>
      <c r="C82" s="1" t="n">
        <f aca="false">IF(Pertenencia!C82=1,Plan!$I82,0)</f>
        <v>0</v>
      </c>
      <c r="D82" s="1" t="n">
        <f aca="false">IF(Pertenencia!D82=1,Plan!$I82,0)</f>
        <v>0</v>
      </c>
      <c r="E82" s="1" t="n">
        <f aca="false">IF(Pertenencia!E82=1,Plan!$I82,0)</f>
        <v>0</v>
      </c>
      <c r="F82" s="1" t="n">
        <f aca="false">IF(Pertenencia!F82=1,Plan!$I82,0)</f>
        <v>0</v>
      </c>
      <c r="G82" s="1" t="n">
        <f aca="false">IF(Pertenencia!G82=1,Plan!$I82,0)</f>
        <v>2</v>
      </c>
      <c r="H82" s="1" t="n">
        <f aca="false">IF(Pertenencia!H82=1,Plan!$I82,0)</f>
        <v>0</v>
      </c>
      <c r="I82" s="1" t="n">
        <f aca="false">IF(Pertenencia!I82=1,Plan!$I82,0)</f>
        <v>0</v>
      </c>
      <c r="J82" s="1" t="n">
        <f aca="false">IF(Pertenencia!J82=1,Plan!$I82,0)</f>
        <v>0</v>
      </c>
      <c r="K82" s="1" t="n">
        <f aca="false">IF(Pertenencia!K82=1,Plan!$I82,0)</f>
        <v>2</v>
      </c>
      <c r="L82" s="1" t="n">
        <f aca="false">IF(Pertenencia!L82=1,Plan!$I82,0)</f>
        <v>0</v>
      </c>
      <c r="M82" s="1" t="n">
        <f aca="false">IF(Pertenencia!M82=1,Plan!$I82,0)</f>
        <v>0</v>
      </c>
    </row>
    <row r="83" customFormat="false" ht="15" hidden="false" customHeight="true" outlineLevel="0" collapsed="false">
      <c r="A83" s="1" t="s">
        <v>363</v>
      </c>
      <c r="B83" s="1" t="n">
        <f aca="false">IF(Pertenencia!B83=1,Plan!$I83,0)</f>
        <v>0</v>
      </c>
      <c r="C83" s="1" t="n">
        <f aca="false">IF(Pertenencia!C83=1,Plan!$I83,0)</f>
        <v>0</v>
      </c>
      <c r="D83" s="1" t="n">
        <f aca="false">IF(Pertenencia!D83=1,Plan!$I83,0)</f>
        <v>0</v>
      </c>
      <c r="E83" s="1" t="n">
        <f aca="false">IF(Pertenencia!E83=1,Plan!$I83,0)</f>
        <v>0</v>
      </c>
      <c r="F83" s="1" t="n">
        <f aca="false">IF(Pertenencia!F83=1,Plan!$I83,0)</f>
        <v>0</v>
      </c>
      <c r="G83" s="1" t="n">
        <f aca="false">IF(Pertenencia!G83=1,Plan!$I83,0)</f>
        <v>2</v>
      </c>
      <c r="H83" s="1" t="n">
        <f aca="false">IF(Pertenencia!H83=1,Plan!$I83,0)</f>
        <v>0</v>
      </c>
      <c r="I83" s="1" t="n">
        <f aca="false">IF(Pertenencia!I83=1,Plan!$I83,0)</f>
        <v>0</v>
      </c>
      <c r="J83" s="1" t="n">
        <f aca="false">IF(Pertenencia!J83=1,Plan!$I83,0)</f>
        <v>0</v>
      </c>
      <c r="K83" s="1" t="n">
        <f aca="false">IF(Pertenencia!K83=1,Plan!$I83,0)</f>
        <v>0</v>
      </c>
      <c r="L83" s="1" t="n">
        <f aca="false">IF(Pertenencia!L83=1,Plan!$I83,0)</f>
        <v>0</v>
      </c>
      <c r="M83" s="1" t="n">
        <f aca="false">IF(Pertenencia!M83=1,Plan!$I83,0)</f>
        <v>0</v>
      </c>
    </row>
    <row r="84" customFormat="false" ht="15" hidden="false" customHeight="true" outlineLevel="0" collapsed="false">
      <c r="A84" s="1" t="s">
        <v>367</v>
      </c>
      <c r="B84" s="1" t="n">
        <f aca="false">IF(Pertenencia!B84=1,Plan!$I84,0)</f>
        <v>0</v>
      </c>
      <c r="C84" s="1" t="n">
        <f aca="false">IF(Pertenencia!C84=1,Plan!$I84,0)</f>
        <v>0</v>
      </c>
      <c r="D84" s="1" t="n">
        <f aca="false">IF(Pertenencia!D84=1,Plan!$I84,0)</f>
        <v>0</v>
      </c>
      <c r="E84" s="1" t="n">
        <f aca="false">IF(Pertenencia!E84=1,Plan!$I84,0)</f>
        <v>0</v>
      </c>
      <c r="F84" s="1" t="n">
        <f aca="false">IF(Pertenencia!F84=1,Plan!$I84,0)</f>
        <v>0</v>
      </c>
      <c r="G84" s="1" t="n">
        <f aca="false">IF(Pertenencia!G84=1,Plan!$I84,0)</f>
        <v>2</v>
      </c>
      <c r="H84" s="1" t="n">
        <f aca="false">IF(Pertenencia!H84=1,Plan!$I84,0)</f>
        <v>0</v>
      </c>
      <c r="I84" s="1" t="n">
        <f aca="false">IF(Pertenencia!I84=1,Plan!$I84,0)</f>
        <v>0</v>
      </c>
      <c r="J84" s="1" t="n">
        <f aca="false">IF(Pertenencia!J84=1,Plan!$I84,0)</f>
        <v>0</v>
      </c>
      <c r="K84" s="1" t="n">
        <f aca="false">IF(Pertenencia!K84=1,Plan!$I84,0)</f>
        <v>0</v>
      </c>
      <c r="L84" s="1" t="n">
        <f aca="false">IF(Pertenencia!L84=1,Plan!$I84,0)</f>
        <v>0</v>
      </c>
      <c r="M84" s="1" t="n">
        <f aca="false">IF(Pertenencia!M84=1,Plan!$I84,0)</f>
        <v>0</v>
      </c>
    </row>
    <row r="85" customFormat="false" ht="15" hidden="false" customHeight="true" outlineLevel="0" collapsed="false">
      <c r="A85" s="1" t="s">
        <v>371</v>
      </c>
      <c r="B85" s="1" t="n">
        <f aca="false">IF(Pertenencia!B85=1,Plan!$I85,0)</f>
        <v>2</v>
      </c>
      <c r="C85" s="1" t="n">
        <f aca="false">IF(Pertenencia!C85=1,Plan!$I85,0)</f>
        <v>0</v>
      </c>
      <c r="D85" s="1" t="n">
        <f aca="false">IF(Pertenencia!D85=1,Plan!$I85,0)</f>
        <v>0</v>
      </c>
      <c r="E85" s="1" t="n">
        <f aca="false">IF(Pertenencia!E85=1,Plan!$I85,0)</f>
        <v>0</v>
      </c>
      <c r="F85" s="1" t="n">
        <f aca="false">IF(Pertenencia!F85=1,Plan!$I85,0)</f>
        <v>0</v>
      </c>
      <c r="G85" s="1" t="n">
        <f aca="false">IF(Pertenencia!G85=1,Plan!$I85,0)</f>
        <v>2</v>
      </c>
      <c r="H85" s="1" t="n">
        <f aca="false">IF(Pertenencia!H85=1,Plan!$I85,0)</f>
        <v>0</v>
      </c>
      <c r="I85" s="1" t="n">
        <f aca="false">IF(Pertenencia!I85=1,Plan!$I85,0)</f>
        <v>0</v>
      </c>
      <c r="J85" s="1" t="n">
        <f aca="false">IF(Pertenencia!J85=1,Plan!$I85,0)</f>
        <v>0</v>
      </c>
      <c r="K85" s="1" t="n">
        <f aca="false">IF(Pertenencia!K85=1,Plan!$I85,0)</f>
        <v>0</v>
      </c>
      <c r="L85" s="1" t="n">
        <f aca="false">IF(Pertenencia!L85=1,Plan!$I85,0)</f>
        <v>0</v>
      </c>
      <c r="M85" s="1" t="n">
        <f aca="false">IF(Pertenencia!M85=1,Plan!$I85,0)</f>
        <v>0</v>
      </c>
    </row>
    <row r="86" customFormat="false" ht="15" hidden="false" customHeight="true" outlineLevel="0" collapsed="false">
      <c r="A86" s="1" t="s">
        <v>375</v>
      </c>
      <c r="B86" s="1" t="n">
        <f aca="false">IF(Pertenencia!B86=1,Plan!$I86,0)</f>
        <v>2</v>
      </c>
      <c r="C86" s="1" t="n">
        <f aca="false">IF(Pertenencia!C86=1,Plan!$I86,0)</f>
        <v>0</v>
      </c>
      <c r="D86" s="1" t="n">
        <f aca="false">IF(Pertenencia!D86=1,Plan!$I86,0)</f>
        <v>2</v>
      </c>
      <c r="E86" s="1" t="n">
        <f aca="false">IF(Pertenencia!E86=1,Plan!$I86,0)</f>
        <v>0</v>
      </c>
      <c r="F86" s="1" t="n">
        <f aca="false">IF(Pertenencia!F86=1,Plan!$I86,0)</f>
        <v>0</v>
      </c>
      <c r="G86" s="1" t="n">
        <f aca="false">IF(Pertenencia!G86=1,Plan!$I86,0)</f>
        <v>2</v>
      </c>
      <c r="H86" s="1" t="n">
        <f aca="false">IF(Pertenencia!H86=1,Plan!$I86,0)</f>
        <v>0</v>
      </c>
      <c r="I86" s="1" t="n">
        <f aca="false">IF(Pertenencia!I86=1,Plan!$I86,0)</f>
        <v>0</v>
      </c>
      <c r="J86" s="1" t="n">
        <f aca="false">IF(Pertenencia!J86=1,Plan!$I86,0)</f>
        <v>2</v>
      </c>
      <c r="K86" s="1" t="n">
        <f aca="false">IF(Pertenencia!K86=1,Plan!$I86,0)</f>
        <v>2</v>
      </c>
      <c r="L86" s="1" t="n">
        <f aca="false">IF(Pertenencia!L86=1,Plan!$I86,0)</f>
        <v>2</v>
      </c>
      <c r="M86" s="1" t="n">
        <f aca="false">IF(Pertenencia!M86=1,Plan!$I86,0)</f>
        <v>2</v>
      </c>
    </row>
    <row r="87" customFormat="false" ht="15" hidden="false" customHeight="true" outlineLevel="0" collapsed="false">
      <c r="A87" s="1" t="s">
        <v>378</v>
      </c>
      <c r="B87" s="1" t="n">
        <f aca="false">IF(Pertenencia!B87=1,Plan!$I87,0)</f>
        <v>2</v>
      </c>
      <c r="C87" s="1" t="n">
        <f aca="false">IF(Pertenencia!C87=1,Plan!$I87,0)</f>
        <v>0</v>
      </c>
      <c r="D87" s="1" t="n">
        <f aca="false">IF(Pertenencia!D87=1,Plan!$I87,0)</f>
        <v>2</v>
      </c>
      <c r="E87" s="1" t="n">
        <f aca="false">IF(Pertenencia!E87=1,Plan!$I87,0)</f>
        <v>0</v>
      </c>
      <c r="F87" s="1" t="n">
        <f aca="false">IF(Pertenencia!F87=1,Plan!$I87,0)</f>
        <v>0</v>
      </c>
      <c r="G87" s="1" t="n">
        <f aca="false">IF(Pertenencia!G87=1,Plan!$I87,0)</f>
        <v>0</v>
      </c>
      <c r="H87" s="1" t="n">
        <f aca="false">IF(Pertenencia!H87=1,Plan!$I87,0)</f>
        <v>0</v>
      </c>
      <c r="I87" s="1" t="n">
        <f aca="false">IF(Pertenencia!I87=1,Plan!$I87,0)</f>
        <v>0</v>
      </c>
      <c r="J87" s="1" t="n">
        <f aca="false">IF(Pertenencia!J87=1,Plan!$I87,0)</f>
        <v>2</v>
      </c>
      <c r="K87" s="1" t="n">
        <f aca="false">IF(Pertenencia!K87=1,Plan!$I87,0)</f>
        <v>2</v>
      </c>
      <c r="L87" s="1" t="n">
        <f aca="false">IF(Pertenencia!L87=1,Plan!$I87,0)</f>
        <v>2</v>
      </c>
      <c r="M87" s="1" t="n">
        <f aca="false">IF(Pertenencia!M87=1,Plan!$I87,0)</f>
        <v>0</v>
      </c>
    </row>
    <row r="88" customFormat="false" ht="15" hidden="false" customHeight="true" outlineLevel="0" collapsed="false">
      <c r="A88" s="1" t="s">
        <v>381</v>
      </c>
      <c r="B88" s="1" t="n">
        <f aca="false">IF(Pertenencia!B88=1,Plan!$I88,0)</f>
        <v>0</v>
      </c>
      <c r="C88" s="1" t="n">
        <f aca="false">IF(Pertenencia!C88=1,Plan!$I88,0)</f>
        <v>0</v>
      </c>
      <c r="D88" s="1" t="n">
        <f aca="false">IF(Pertenencia!D88=1,Plan!$I88,0)</f>
        <v>0</v>
      </c>
      <c r="E88" s="1" t="n">
        <f aca="false">IF(Pertenencia!E88=1,Plan!$I88,0)</f>
        <v>0</v>
      </c>
      <c r="F88" s="1" t="n">
        <f aca="false">IF(Pertenencia!F88=1,Plan!$I88,0)</f>
        <v>0</v>
      </c>
      <c r="G88" s="1" t="n">
        <f aca="false">IF(Pertenencia!G88=1,Plan!$I88,0)</f>
        <v>0</v>
      </c>
      <c r="H88" s="1" t="n">
        <f aca="false">IF(Pertenencia!H88=1,Plan!$I88,0)</f>
        <v>0</v>
      </c>
      <c r="I88" s="1" t="n">
        <f aca="false">IF(Pertenencia!I88=1,Plan!$I88,0)</f>
        <v>0</v>
      </c>
      <c r="J88" s="1" t="n">
        <f aca="false">IF(Pertenencia!J88=1,Plan!$I88,0)</f>
        <v>2</v>
      </c>
      <c r="K88" s="1" t="n">
        <f aca="false">IF(Pertenencia!K88=1,Plan!$I88,0)</f>
        <v>0</v>
      </c>
      <c r="L88" s="1" t="n">
        <f aca="false">IF(Pertenencia!L88=1,Plan!$I88,0)</f>
        <v>0</v>
      </c>
      <c r="M88" s="1" t="n">
        <f aca="false">IF(Pertenencia!M88=1,Plan!$I88,0)</f>
        <v>0</v>
      </c>
    </row>
    <row r="89" customFormat="false" ht="15" hidden="false" customHeight="true" outlineLevel="0" collapsed="false">
      <c r="A89" s="1" t="s">
        <v>385</v>
      </c>
      <c r="B89" s="1" t="n">
        <f aca="false">IF(Pertenencia!B89=1,Plan!$I89,0)</f>
        <v>0</v>
      </c>
      <c r="C89" s="1" t="n">
        <f aca="false">IF(Pertenencia!C89=1,Plan!$I89,0)</f>
        <v>0</v>
      </c>
      <c r="D89" s="1" t="n">
        <f aca="false">IF(Pertenencia!D89=1,Plan!$I89,0)</f>
        <v>0</v>
      </c>
      <c r="E89" s="1" t="n">
        <f aca="false">IF(Pertenencia!E89=1,Plan!$I89,0)</f>
        <v>0</v>
      </c>
      <c r="F89" s="1" t="n">
        <f aca="false">IF(Pertenencia!F89=1,Plan!$I89,0)</f>
        <v>0</v>
      </c>
      <c r="G89" s="1" t="n">
        <f aca="false">IF(Pertenencia!G89=1,Plan!$I89,0)</f>
        <v>0</v>
      </c>
      <c r="H89" s="1" t="n">
        <f aca="false">IF(Pertenencia!H89=1,Plan!$I89,0)</f>
        <v>0</v>
      </c>
      <c r="I89" s="1" t="n">
        <f aca="false">IF(Pertenencia!I89=1,Plan!$I89,0)</f>
        <v>0</v>
      </c>
      <c r="J89" s="1" t="n">
        <f aca="false">IF(Pertenencia!J89=1,Plan!$I89,0)</f>
        <v>0</v>
      </c>
      <c r="K89" s="1" t="n">
        <f aca="false">IF(Pertenencia!K89=1,Plan!$I89,0)</f>
        <v>0</v>
      </c>
      <c r="L89" s="1" t="n">
        <f aca="false">IF(Pertenencia!L89=1,Plan!$I89,0)</f>
        <v>2</v>
      </c>
      <c r="M89" s="1" t="n">
        <f aca="false">IF(Pertenencia!M89=1,Plan!$I89,0)</f>
        <v>0</v>
      </c>
    </row>
    <row r="90" customFormat="false" ht="15" hidden="false" customHeight="true" outlineLevel="0" collapsed="false">
      <c r="A90" s="1" t="s">
        <v>389</v>
      </c>
      <c r="B90" s="1" t="n">
        <f aca="false">IF(Pertenencia!B90=1,Plan!$I90,0)</f>
        <v>0</v>
      </c>
      <c r="C90" s="1" t="n">
        <f aca="false">IF(Pertenencia!C90=1,Plan!$I90,0)</f>
        <v>0</v>
      </c>
      <c r="D90" s="1" t="n">
        <f aca="false">IF(Pertenencia!D90=1,Plan!$I90,0)</f>
        <v>0</v>
      </c>
      <c r="E90" s="1" t="n">
        <f aca="false">IF(Pertenencia!E90=1,Plan!$I90,0)</f>
        <v>0</v>
      </c>
      <c r="F90" s="1" t="n">
        <f aca="false">IF(Pertenencia!F90=1,Plan!$I90,0)</f>
        <v>0</v>
      </c>
      <c r="G90" s="1" t="n">
        <f aca="false">IF(Pertenencia!G90=1,Plan!$I90,0)</f>
        <v>0</v>
      </c>
      <c r="H90" s="1" t="n">
        <f aca="false">IF(Pertenencia!H90=1,Plan!$I90,0)</f>
        <v>0</v>
      </c>
      <c r="I90" s="1" t="n">
        <f aca="false">IF(Pertenencia!I90=1,Plan!$I90,0)</f>
        <v>0</v>
      </c>
      <c r="J90" s="1" t="n">
        <f aca="false">IF(Pertenencia!J90=1,Plan!$I90,0)</f>
        <v>0</v>
      </c>
      <c r="K90" s="1" t="n">
        <f aca="false">IF(Pertenencia!K90=1,Plan!$I90,0)</f>
        <v>2</v>
      </c>
      <c r="L90" s="1" t="n">
        <f aca="false">IF(Pertenencia!L90=1,Plan!$I90,0)</f>
        <v>0</v>
      </c>
      <c r="M90" s="1" t="n">
        <f aca="false">IF(Pertenencia!M90=1,Plan!$I90,0)</f>
        <v>0</v>
      </c>
    </row>
    <row r="91" customFormat="false" ht="15" hidden="false" customHeight="true" outlineLevel="0" collapsed="false">
      <c r="A91" s="1" t="s">
        <v>393</v>
      </c>
      <c r="B91" s="1" t="n">
        <f aca="false">IF(Pertenencia!B91=1,Plan!$I91,0)</f>
        <v>1</v>
      </c>
      <c r="C91" s="1" t="n">
        <f aca="false">IF(Pertenencia!C91=1,Plan!$I91,0)</f>
        <v>0</v>
      </c>
      <c r="D91" s="1" t="n">
        <f aca="false">IF(Pertenencia!D91=1,Plan!$I91,0)</f>
        <v>0</v>
      </c>
      <c r="E91" s="1" t="n">
        <f aca="false">IF(Pertenencia!E91=1,Plan!$I91,0)</f>
        <v>0</v>
      </c>
      <c r="F91" s="1" t="n">
        <f aca="false">IF(Pertenencia!F91=1,Plan!$I91,0)</f>
        <v>0</v>
      </c>
      <c r="G91" s="1" t="n">
        <f aca="false">IF(Pertenencia!G91=1,Plan!$I91,0)</f>
        <v>0</v>
      </c>
      <c r="H91" s="1" t="n">
        <f aca="false">IF(Pertenencia!H91=1,Plan!$I91,0)</f>
        <v>0</v>
      </c>
      <c r="I91" s="1" t="n">
        <f aca="false">IF(Pertenencia!I91=1,Plan!$I91,0)</f>
        <v>0</v>
      </c>
      <c r="J91" s="1" t="n">
        <f aca="false">IF(Pertenencia!J91=1,Plan!$I91,0)</f>
        <v>0</v>
      </c>
      <c r="K91" s="1" t="n">
        <f aca="false">IF(Pertenencia!K91=1,Plan!$I91,0)</f>
        <v>1</v>
      </c>
      <c r="L91" s="1" t="n">
        <f aca="false">IF(Pertenencia!L91=1,Plan!$I91,0)</f>
        <v>0</v>
      </c>
      <c r="M91" s="1" t="n">
        <f aca="false">IF(Pertenencia!M91=1,Plan!$I91,0)</f>
        <v>0</v>
      </c>
    </row>
    <row r="92" customFormat="false" ht="15" hidden="false" customHeight="true" outlineLevel="0" collapsed="false">
      <c r="A92" s="1" t="s">
        <v>397</v>
      </c>
      <c r="B92" s="1" t="n">
        <f aca="false">IF(Pertenencia!B92=1,Plan!$I92,0)</f>
        <v>0</v>
      </c>
      <c r="C92" s="1" t="n">
        <f aca="false">IF(Pertenencia!C92=1,Plan!$I92,0)</f>
        <v>0</v>
      </c>
      <c r="D92" s="1" t="n">
        <f aca="false">IF(Pertenencia!D92=1,Plan!$I92,0)</f>
        <v>0</v>
      </c>
      <c r="E92" s="1" t="n">
        <f aca="false">IF(Pertenencia!E92=1,Plan!$I92,0)</f>
        <v>0</v>
      </c>
      <c r="F92" s="1" t="n">
        <f aca="false">IF(Pertenencia!F92=1,Plan!$I92,0)</f>
        <v>0</v>
      </c>
      <c r="G92" s="1" t="n">
        <f aca="false">IF(Pertenencia!G92=1,Plan!$I92,0)</f>
        <v>0</v>
      </c>
      <c r="H92" s="1" t="n">
        <f aca="false">IF(Pertenencia!H92=1,Plan!$I92,0)</f>
        <v>0</v>
      </c>
      <c r="I92" s="1" t="n">
        <f aca="false">IF(Pertenencia!I92=1,Plan!$I92,0)</f>
        <v>0</v>
      </c>
      <c r="J92" s="1" t="n">
        <f aca="false">IF(Pertenencia!J92=1,Plan!$I92,0)</f>
        <v>2</v>
      </c>
      <c r="K92" s="1" t="n">
        <f aca="false">IF(Pertenencia!K92=1,Plan!$I92,0)</f>
        <v>0</v>
      </c>
      <c r="L92" s="1" t="n">
        <f aca="false">IF(Pertenencia!L92=1,Plan!$I92,0)</f>
        <v>0</v>
      </c>
      <c r="M92" s="1" t="n">
        <f aca="false">IF(Pertenencia!M92=1,Plan!$I92,0)</f>
        <v>0</v>
      </c>
    </row>
    <row r="93" customFormat="false" ht="15" hidden="false" customHeight="true" outlineLevel="0" collapsed="false">
      <c r="A93" s="1" t="s">
        <v>401</v>
      </c>
      <c r="B93" s="1" t="n">
        <f aca="false">IF(Pertenencia!B93=1,Plan!$I93,0)</f>
        <v>0</v>
      </c>
      <c r="C93" s="1" t="n">
        <f aca="false">IF(Pertenencia!C93=1,Plan!$I93,0)</f>
        <v>0</v>
      </c>
      <c r="D93" s="1" t="n">
        <f aca="false">IF(Pertenencia!D93=1,Plan!$I93,0)</f>
        <v>0</v>
      </c>
      <c r="E93" s="1" t="n">
        <f aca="false">IF(Pertenencia!E93=1,Plan!$I93,0)</f>
        <v>0</v>
      </c>
      <c r="F93" s="1" t="n">
        <f aca="false">IF(Pertenencia!F93=1,Plan!$I93,0)</f>
        <v>0</v>
      </c>
      <c r="G93" s="1" t="n">
        <f aca="false">IF(Pertenencia!G93=1,Plan!$I93,0)</f>
        <v>0</v>
      </c>
      <c r="H93" s="1" t="n">
        <f aca="false">IF(Pertenencia!H93=1,Plan!$I93,0)</f>
        <v>0</v>
      </c>
      <c r="I93" s="1" t="n">
        <f aca="false">IF(Pertenencia!I93=1,Plan!$I93,0)</f>
        <v>0</v>
      </c>
      <c r="J93" s="1" t="n">
        <f aca="false">IF(Pertenencia!J93=1,Plan!$I93,0)</f>
        <v>2</v>
      </c>
      <c r="K93" s="1" t="n">
        <f aca="false">IF(Pertenencia!K93=1,Plan!$I93,0)</f>
        <v>0</v>
      </c>
      <c r="L93" s="1" t="n">
        <f aca="false">IF(Pertenencia!L93=1,Plan!$I93,0)</f>
        <v>0</v>
      </c>
      <c r="M93" s="1" t="n">
        <f aca="false">IF(Pertenencia!M93=1,Plan!$I93,0)</f>
        <v>0</v>
      </c>
    </row>
    <row r="94" customFormat="false" ht="15" hidden="false" customHeight="true" outlineLevel="0" collapsed="false">
      <c r="A94" s="1" t="s">
        <v>405</v>
      </c>
      <c r="B94" s="1" t="n">
        <f aca="false">IF(Pertenencia!B94=1,Plan!$I94,0)</f>
        <v>0</v>
      </c>
      <c r="C94" s="1" t="n">
        <f aca="false">IF(Pertenencia!C94=1,Plan!$I94,0)</f>
        <v>0</v>
      </c>
      <c r="D94" s="1" t="n">
        <f aca="false">IF(Pertenencia!D94=1,Plan!$I94,0)</f>
        <v>1</v>
      </c>
      <c r="E94" s="1" t="n">
        <f aca="false">IF(Pertenencia!E94=1,Plan!$I94,0)</f>
        <v>0</v>
      </c>
      <c r="F94" s="1" t="n">
        <f aca="false">IF(Pertenencia!F94=1,Plan!$I94,0)</f>
        <v>0</v>
      </c>
      <c r="G94" s="1" t="n">
        <f aca="false">IF(Pertenencia!G94=1,Plan!$I94,0)</f>
        <v>0</v>
      </c>
      <c r="H94" s="1" t="n">
        <f aca="false">IF(Pertenencia!H94=1,Plan!$I94,0)</f>
        <v>0</v>
      </c>
      <c r="I94" s="1" t="n">
        <f aca="false">IF(Pertenencia!I94=1,Plan!$I94,0)</f>
        <v>0</v>
      </c>
      <c r="J94" s="1" t="n">
        <f aca="false">IF(Pertenencia!J94=1,Plan!$I94,0)</f>
        <v>0</v>
      </c>
      <c r="K94" s="1" t="n">
        <f aca="false">IF(Pertenencia!K94=1,Plan!$I94,0)</f>
        <v>0</v>
      </c>
      <c r="L94" s="1" t="n">
        <f aca="false">IF(Pertenencia!L94=1,Plan!$I94,0)</f>
        <v>0</v>
      </c>
      <c r="M94" s="1" t="n">
        <f aca="false">IF(Pertenencia!M94=1,Plan!$I94,0)</f>
        <v>0</v>
      </c>
    </row>
    <row r="95" customFormat="false" ht="15" hidden="false" customHeight="true" outlineLevel="0" collapsed="false">
      <c r="A95" s="1" t="s">
        <v>409</v>
      </c>
      <c r="B95" s="1" t="n">
        <f aca="false">IF(Pertenencia!B95=1,Plan!$I95,0)</f>
        <v>0</v>
      </c>
      <c r="C95" s="1" t="n">
        <f aca="false">IF(Pertenencia!C95=1,Plan!$I95,0)</f>
        <v>0</v>
      </c>
      <c r="D95" s="1" t="n">
        <f aca="false">IF(Pertenencia!D95=1,Plan!$I95,0)</f>
        <v>0</v>
      </c>
      <c r="E95" s="1" t="n">
        <f aca="false">IF(Pertenencia!E95=1,Plan!$I95,0)</f>
        <v>0</v>
      </c>
      <c r="F95" s="1" t="n">
        <f aca="false">IF(Pertenencia!F95=1,Plan!$I95,0)</f>
        <v>0</v>
      </c>
      <c r="G95" s="1" t="n">
        <f aca="false">IF(Pertenencia!G95=1,Plan!$I95,0)</f>
        <v>2</v>
      </c>
      <c r="H95" s="1" t="n">
        <f aca="false">IF(Pertenencia!H95=1,Plan!$I95,0)</f>
        <v>0</v>
      </c>
      <c r="I95" s="1" t="n">
        <f aca="false">IF(Pertenencia!I95=1,Plan!$I95,0)</f>
        <v>0</v>
      </c>
      <c r="J95" s="1" t="n">
        <f aca="false">IF(Pertenencia!J95=1,Plan!$I95,0)</f>
        <v>2</v>
      </c>
      <c r="K95" s="1" t="n">
        <f aca="false">IF(Pertenencia!K95=1,Plan!$I95,0)</f>
        <v>0</v>
      </c>
      <c r="L95" s="1" t="n">
        <f aca="false">IF(Pertenencia!L95=1,Plan!$I95,0)</f>
        <v>0</v>
      </c>
      <c r="M95" s="1" t="n">
        <f aca="false">IF(Pertenencia!M95=1,Plan!$I95,0)</f>
        <v>2</v>
      </c>
    </row>
    <row r="96" customFormat="false" ht="15" hidden="false" customHeight="true" outlineLevel="0" collapsed="false">
      <c r="A96" s="1" t="s">
        <v>412</v>
      </c>
      <c r="B96" s="1" t="n">
        <f aca="false">IF(Pertenencia!B96=1,Plan!$I96,0)</f>
        <v>0</v>
      </c>
      <c r="C96" s="1" t="n">
        <f aca="false">IF(Pertenencia!C96=1,Plan!$I96,0)</f>
        <v>0</v>
      </c>
      <c r="D96" s="1" t="n">
        <f aca="false">IF(Pertenencia!D96=1,Plan!$I96,0)</f>
        <v>0</v>
      </c>
      <c r="E96" s="1" t="n">
        <f aca="false">IF(Pertenencia!E96=1,Plan!$I96,0)</f>
        <v>0</v>
      </c>
      <c r="F96" s="1" t="n">
        <f aca="false">IF(Pertenencia!F96=1,Plan!$I96,0)</f>
        <v>0</v>
      </c>
      <c r="G96" s="1" t="n">
        <f aca="false">IF(Pertenencia!G96=1,Plan!$I96,0)</f>
        <v>0</v>
      </c>
      <c r="H96" s="1" t="n">
        <f aca="false">IF(Pertenencia!H96=1,Plan!$I96,0)</f>
        <v>0</v>
      </c>
      <c r="I96" s="1" t="n">
        <f aca="false">IF(Pertenencia!I96=1,Plan!$I96,0)</f>
        <v>0</v>
      </c>
      <c r="J96" s="1" t="n">
        <f aca="false">IF(Pertenencia!J96=1,Plan!$I96,0)</f>
        <v>2</v>
      </c>
      <c r="K96" s="1" t="n">
        <f aca="false">IF(Pertenencia!K96=1,Plan!$I96,0)</f>
        <v>0</v>
      </c>
      <c r="L96" s="1" t="n">
        <f aca="false">IF(Pertenencia!L96=1,Plan!$I96,0)</f>
        <v>0</v>
      </c>
      <c r="M96" s="1" t="n">
        <f aca="false">IF(Pertenencia!M96=1,Plan!$I96,0)</f>
        <v>0</v>
      </c>
    </row>
    <row r="97" customFormat="false" ht="15" hidden="false" customHeight="true" outlineLevel="0" collapsed="false">
      <c r="A97" s="1" t="s">
        <v>416</v>
      </c>
      <c r="B97" s="1" t="n">
        <f aca="false">IF(Pertenencia!B97=1,Plan!$I97,0)</f>
        <v>0</v>
      </c>
      <c r="C97" s="1" t="n">
        <f aca="false">IF(Pertenencia!C97=1,Plan!$I97,0)</f>
        <v>0</v>
      </c>
      <c r="D97" s="1" t="n">
        <f aca="false">IF(Pertenencia!D97=1,Plan!$I97,0)</f>
        <v>0</v>
      </c>
      <c r="E97" s="1" t="n">
        <f aca="false">IF(Pertenencia!E97=1,Plan!$I97,0)</f>
        <v>0</v>
      </c>
      <c r="F97" s="1" t="n">
        <f aca="false">IF(Pertenencia!F97=1,Plan!$I97,0)</f>
        <v>0</v>
      </c>
      <c r="G97" s="1" t="n">
        <f aca="false">IF(Pertenencia!G97=1,Plan!$I97,0)</f>
        <v>2</v>
      </c>
      <c r="H97" s="1" t="n">
        <f aca="false">IF(Pertenencia!H97=1,Plan!$I97,0)</f>
        <v>0</v>
      </c>
      <c r="I97" s="1" t="n">
        <f aca="false">IF(Pertenencia!I97=1,Plan!$I97,0)</f>
        <v>0</v>
      </c>
      <c r="J97" s="1" t="n">
        <f aca="false">IF(Pertenencia!J97=1,Plan!$I97,0)</f>
        <v>0</v>
      </c>
      <c r="K97" s="1" t="n">
        <f aca="false">IF(Pertenencia!K97=1,Plan!$I97,0)</f>
        <v>0</v>
      </c>
      <c r="L97" s="1" t="n">
        <f aca="false">IF(Pertenencia!L97=1,Plan!$I97,0)</f>
        <v>0</v>
      </c>
      <c r="M97" s="1" t="n">
        <f aca="false">IF(Pertenencia!M97=1,Plan!$I97,0)</f>
        <v>2</v>
      </c>
    </row>
    <row r="98" customFormat="false" ht="15" hidden="false" customHeight="true" outlineLevel="0" collapsed="false">
      <c r="A98" s="1" t="s">
        <v>420</v>
      </c>
      <c r="B98" s="1" t="n">
        <f aca="false">IF(Pertenencia!B98=1,Plan!$I98,0)</f>
        <v>0</v>
      </c>
      <c r="C98" s="1" t="n">
        <f aca="false">IF(Pertenencia!C98=1,Plan!$I98,0)</f>
        <v>0</v>
      </c>
      <c r="D98" s="1" t="n">
        <f aca="false">IF(Pertenencia!D98=1,Plan!$I98,0)</f>
        <v>0</v>
      </c>
      <c r="E98" s="1" t="n">
        <f aca="false">IF(Pertenencia!E98=1,Plan!$I98,0)</f>
        <v>0</v>
      </c>
      <c r="F98" s="1" t="n">
        <f aca="false">IF(Pertenencia!F98=1,Plan!$I98,0)</f>
        <v>0</v>
      </c>
      <c r="G98" s="1" t="n">
        <f aca="false">IF(Pertenencia!G98=1,Plan!$I98,0)</f>
        <v>0</v>
      </c>
      <c r="H98" s="1" t="n">
        <f aca="false">IF(Pertenencia!H98=1,Plan!$I98,0)</f>
        <v>0</v>
      </c>
      <c r="I98" s="1" t="n">
        <f aca="false">IF(Pertenencia!I98=1,Plan!$I98,0)</f>
        <v>0</v>
      </c>
      <c r="J98" s="1" t="n">
        <f aca="false">IF(Pertenencia!J98=1,Plan!$I98,0)</f>
        <v>1</v>
      </c>
      <c r="K98" s="1" t="n">
        <f aca="false">IF(Pertenencia!K98=1,Plan!$I98,0)</f>
        <v>0</v>
      </c>
      <c r="L98" s="1" t="n">
        <f aca="false">IF(Pertenencia!L98=1,Plan!$I98,0)</f>
        <v>0</v>
      </c>
      <c r="M98" s="1" t="n">
        <f aca="false">IF(Pertenencia!M98=1,Plan!$I98,0)</f>
        <v>0</v>
      </c>
    </row>
    <row r="99" customFormat="false" ht="15" hidden="false" customHeight="true" outlineLevel="0" collapsed="false">
      <c r="A99" s="1" t="s">
        <v>423</v>
      </c>
      <c r="B99" s="1" t="n">
        <f aca="false">IF(Pertenencia!B99=1,Plan!$I99,0)</f>
        <v>0</v>
      </c>
      <c r="C99" s="1" t="n">
        <f aca="false">IF(Pertenencia!C99=1,Plan!$I99,0)</f>
        <v>0</v>
      </c>
      <c r="D99" s="1" t="n">
        <f aca="false">IF(Pertenencia!D99=1,Plan!$I99,0)</f>
        <v>0</v>
      </c>
      <c r="E99" s="1" t="n">
        <f aca="false">IF(Pertenencia!E99=1,Plan!$I99,0)</f>
        <v>0</v>
      </c>
      <c r="F99" s="1" t="n">
        <f aca="false">IF(Pertenencia!F99=1,Plan!$I99,0)</f>
        <v>0</v>
      </c>
      <c r="G99" s="1" t="n">
        <f aca="false">IF(Pertenencia!G99=1,Plan!$I99,0)</f>
        <v>0</v>
      </c>
      <c r="H99" s="1" t="n">
        <f aca="false">IF(Pertenencia!H99=1,Plan!$I99,0)</f>
        <v>0</v>
      </c>
      <c r="I99" s="1" t="n">
        <f aca="false">IF(Pertenencia!I99=1,Plan!$I99,0)</f>
        <v>0</v>
      </c>
      <c r="J99" s="1" t="n">
        <f aca="false">IF(Pertenencia!J99=1,Plan!$I99,0)</f>
        <v>1</v>
      </c>
      <c r="K99" s="1" t="n">
        <f aca="false">IF(Pertenencia!K99=1,Plan!$I99,0)</f>
        <v>0</v>
      </c>
      <c r="L99" s="1" t="n">
        <f aca="false">IF(Pertenencia!L99=1,Plan!$I99,0)</f>
        <v>0</v>
      </c>
      <c r="M99" s="1" t="n">
        <f aca="false">IF(Pertenencia!M99=1,Plan!$I99,0)</f>
        <v>0</v>
      </c>
    </row>
    <row r="100" customFormat="false" ht="15" hidden="false" customHeight="true" outlineLevel="0" collapsed="false">
      <c r="A100" s="1" t="s">
        <v>426</v>
      </c>
      <c r="B100" s="1" t="n">
        <f aca="false">IF(Pertenencia!B100=1,Plan!$I100,0)</f>
        <v>0</v>
      </c>
      <c r="C100" s="1" t="n">
        <f aca="false">IF(Pertenencia!C100=1,Plan!$I100,0)</f>
        <v>0</v>
      </c>
      <c r="D100" s="1" t="n">
        <f aca="false">IF(Pertenencia!D100=1,Plan!$I100,0)</f>
        <v>0</v>
      </c>
      <c r="E100" s="1" t="n">
        <f aca="false">IF(Pertenencia!E100=1,Plan!$I100,0)</f>
        <v>0</v>
      </c>
      <c r="F100" s="1" t="n">
        <f aca="false">IF(Pertenencia!F100=1,Plan!$I100,0)</f>
        <v>0</v>
      </c>
      <c r="G100" s="1" t="n">
        <f aca="false">IF(Pertenencia!G100=1,Plan!$I100,0)</f>
        <v>2</v>
      </c>
      <c r="H100" s="1" t="n">
        <f aca="false">IF(Pertenencia!H100=1,Plan!$I100,0)</f>
        <v>0</v>
      </c>
      <c r="I100" s="1" t="n">
        <f aca="false">IF(Pertenencia!I100=1,Plan!$I100,0)</f>
        <v>0</v>
      </c>
      <c r="J100" s="1" t="n">
        <f aca="false">IF(Pertenencia!J100=1,Plan!$I100,0)</f>
        <v>0</v>
      </c>
      <c r="K100" s="1" t="n">
        <f aca="false">IF(Pertenencia!K100=1,Plan!$I100,0)</f>
        <v>2</v>
      </c>
      <c r="L100" s="1" t="n">
        <f aca="false">IF(Pertenencia!L100=1,Plan!$I100,0)</f>
        <v>2</v>
      </c>
      <c r="M100" s="1" t="n">
        <f aca="false">IF(Pertenencia!M100=1,Plan!$I100,0)</f>
        <v>2</v>
      </c>
    </row>
    <row r="101" customFormat="false" ht="15" hidden="false" customHeight="true" outlineLevel="0" collapsed="false">
      <c r="A101" s="1" t="s">
        <v>429</v>
      </c>
      <c r="B101" s="1" t="n">
        <f aca="false">IF(Pertenencia!B101=1,Plan!$I101,0)</f>
        <v>0</v>
      </c>
      <c r="C101" s="1" t="n">
        <f aca="false">IF(Pertenencia!C101=1,Plan!$I101,0)</f>
        <v>0</v>
      </c>
      <c r="D101" s="1" t="n">
        <f aca="false">IF(Pertenencia!D101=1,Plan!$I101,0)</f>
        <v>0</v>
      </c>
      <c r="E101" s="1" t="n">
        <f aca="false">IF(Pertenencia!E101=1,Plan!$I101,0)</f>
        <v>0</v>
      </c>
      <c r="F101" s="1" t="n">
        <f aca="false">IF(Pertenencia!F101=1,Plan!$I101,0)</f>
        <v>0</v>
      </c>
      <c r="G101" s="1" t="n">
        <f aca="false">IF(Pertenencia!G101=1,Plan!$I101,0)</f>
        <v>0</v>
      </c>
      <c r="H101" s="1" t="n">
        <f aca="false">IF(Pertenencia!H101=1,Plan!$I101,0)</f>
        <v>0</v>
      </c>
      <c r="I101" s="1" t="n">
        <f aca="false">IF(Pertenencia!I101=1,Plan!$I101,0)</f>
        <v>0</v>
      </c>
      <c r="J101" s="1" t="n">
        <f aca="false">IF(Pertenencia!J101=1,Plan!$I101,0)</f>
        <v>0</v>
      </c>
      <c r="K101" s="1" t="n">
        <f aca="false">IF(Pertenencia!K101=1,Plan!$I101,0)</f>
        <v>2</v>
      </c>
      <c r="L101" s="1" t="n">
        <f aca="false">IF(Pertenencia!L101=1,Plan!$I101,0)</f>
        <v>2</v>
      </c>
      <c r="M101" s="1" t="n">
        <f aca="false">IF(Pertenencia!M101=1,Plan!$I101,0)</f>
        <v>2</v>
      </c>
    </row>
    <row r="102" customFormat="false" ht="15" hidden="false" customHeight="true" outlineLevel="0" collapsed="false">
      <c r="A102" s="1" t="s">
        <v>432</v>
      </c>
      <c r="B102" s="1" t="n">
        <f aca="false">IF(Pertenencia!B102=1,Plan!$I102,0)</f>
        <v>0</v>
      </c>
      <c r="C102" s="1" t="n">
        <f aca="false">IF(Pertenencia!C102=1,Plan!$I102,0)</f>
        <v>0</v>
      </c>
      <c r="D102" s="1" t="n">
        <f aca="false">IF(Pertenencia!D102=1,Plan!$I102,0)</f>
        <v>0</v>
      </c>
      <c r="E102" s="1" t="n">
        <f aca="false">IF(Pertenencia!E102=1,Plan!$I102,0)</f>
        <v>0</v>
      </c>
      <c r="F102" s="1" t="n">
        <f aca="false">IF(Pertenencia!F102=1,Plan!$I102,0)</f>
        <v>0</v>
      </c>
      <c r="G102" s="1" t="n">
        <f aca="false">IF(Pertenencia!G102=1,Plan!$I102,0)</f>
        <v>0</v>
      </c>
      <c r="H102" s="1" t="n">
        <f aca="false">IF(Pertenencia!H102=1,Plan!$I102,0)</f>
        <v>0</v>
      </c>
      <c r="I102" s="1" t="n">
        <f aca="false">IF(Pertenencia!I102=1,Plan!$I102,0)</f>
        <v>0</v>
      </c>
      <c r="J102" s="1" t="n">
        <f aca="false">IF(Pertenencia!J102=1,Plan!$I102,0)</f>
        <v>0</v>
      </c>
      <c r="K102" s="1" t="n">
        <f aca="false">IF(Pertenencia!K102=1,Plan!$I102,0)</f>
        <v>1</v>
      </c>
      <c r="L102" s="1" t="n">
        <f aca="false">IF(Pertenencia!L102=1,Plan!$I102,0)</f>
        <v>0</v>
      </c>
      <c r="M102" s="1" t="n">
        <f aca="false">IF(Pertenencia!M102=1,Plan!$I102,0)</f>
        <v>0</v>
      </c>
    </row>
    <row r="103" customFormat="false" ht="15" hidden="false" customHeight="true" outlineLevel="0" collapsed="false">
      <c r="A103" s="1" t="s">
        <v>436</v>
      </c>
      <c r="B103" s="1" t="n">
        <f aca="false">IF(Pertenencia!B103=1,Plan!$I103,0)</f>
        <v>0</v>
      </c>
      <c r="C103" s="1" t="n">
        <f aca="false">IF(Pertenencia!C103=1,Plan!$I103,0)</f>
        <v>0</v>
      </c>
      <c r="D103" s="1" t="n">
        <f aca="false">IF(Pertenencia!D103=1,Plan!$I103,0)</f>
        <v>0</v>
      </c>
      <c r="E103" s="1" t="n">
        <f aca="false">IF(Pertenencia!E103=1,Plan!$I103,0)</f>
        <v>0</v>
      </c>
      <c r="F103" s="1" t="n">
        <f aca="false">IF(Pertenencia!F103=1,Plan!$I103,0)</f>
        <v>0</v>
      </c>
      <c r="G103" s="1" t="n">
        <f aca="false">IF(Pertenencia!G103=1,Plan!$I103,0)</f>
        <v>0</v>
      </c>
      <c r="H103" s="1" t="n">
        <f aca="false">IF(Pertenencia!H103=1,Plan!$I103,0)</f>
        <v>0</v>
      </c>
      <c r="I103" s="1" t="n">
        <f aca="false">IF(Pertenencia!I103=1,Plan!$I103,0)</f>
        <v>0</v>
      </c>
      <c r="J103" s="1" t="n">
        <f aca="false">IF(Pertenencia!J103=1,Plan!$I103,0)</f>
        <v>0</v>
      </c>
      <c r="K103" s="1" t="n">
        <f aca="false">IF(Pertenencia!K103=1,Plan!$I103,0)</f>
        <v>0</v>
      </c>
      <c r="L103" s="1" t="n">
        <f aca="false">IF(Pertenencia!L103=1,Plan!$I103,0)</f>
        <v>2</v>
      </c>
      <c r="M103" s="1" t="n">
        <f aca="false">IF(Pertenencia!M103=1,Plan!$I103,0)</f>
        <v>0</v>
      </c>
    </row>
    <row r="104" customFormat="false" ht="15" hidden="false" customHeight="true" outlineLevel="0" collapsed="false">
      <c r="A104" s="1" t="s">
        <v>440</v>
      </c>
      <c r="B104" s="1" t="n">
        <f aca="false">IF(Pertenencia!B104=1,Plan!$I104,0)</f>
        <v>0</v>
      </c>
      <c r="C104" s="1" t="n">
        <f aca="false">IF(Pertenencia!C104=1,Plan!$I104,0)</f>
        <v>0</v>
      </c>
      <c r="D104" s="1" t="n">
        <f aca="false">IF(Pertenencia!D104=1,Plan!$I104,0)</f>
        <v>0</v>
      </c>
      <c r="E104" s="1" t="n">
        <f aca="false">IF(Pertenencia!E104=1,Plan!$I104,0)</f>
        <v>0</v>
      </c>
      <c r="F104" s="1" t="n">
        <f aca="false">IF(Pertenencia!F104=1,Plan!$I104,0)</f>
        <v>0</v>
      </c>
      <c r="G104" s="1" t="n">
        <f aca="false">IF(Pertenencia!G104=1,Plan!$I104,0)</f>
        <v>0</v>
      </c>
      <c r="H104" s="1" t="n">
        <f aca="false">IF(Pertenencia!H104=1,Plan!$I104,0)</f>
        <v>0</v>
      </c>
      <c r="I104" s="1" t="n">
        <f aca="false">IF(Pertenencia!I104=1,Plan!$I104,0)</f>
        <v>0</v>
      </c>
      <c r="J104" s="1" t="n">
        <f aca="false">IF(Pertenencia!J104=1,Plan!$I104,0)</f>
        <v>0</v>
      </c>
      <c r="K104" s="1" t="n">
        <f aca="false">IF(Pertenencia!K104=1,Plan!$I104,0)</f>
        <v>0</v>
      </c>
      <c r="L104" s="1" t="n">
        <f aca="false">IF(Pertenencia!L104=1,Plan!$I104,0)</f>
        <v>0</v>
      </c>
      <c r="M104" s="1" t="n">
        <f aca="false">IF(Pertenencia!M104=1,Plan!$I104,0)</f>
        <v>1</v>
      </c>
    </row>
    <row r="105" customFormat="false" ht="15" hidden="false" customHeight="true" outlineLevel="0" collapsed="false">
      <c r="A105" s="1" t="s">
        <v>444</v>
      </c>
      <c r="B105" s="1" t="n">
        <f aca="false">IF(Pertenencia!B105=1,Plan!$I105,0)</f>
        <v>0</v>
      </c>
      <c r="C105" s="1" t="n">
        <f aca="false">IF(Pertenencia!C105=1,Plan!$I105,0)</f>
        <v>0</v>
      </c>
      <c r="D105" s="1" t="n">
        <f aca="false">IF(Pertenencia!D105=1,Plan!$I105,0)</f>
        <v>0</v>
      </c>
      <c r="E105" s="1" t="n">
        <f aca="false">IF(Pertenencia!E105=1,Plan!$I105,0)</f>
        <v>0</v>
      </c>
      <c r="F105" s="1" t="n">
        <f aca="false">IF(Pertenencia!F105=1,Plan!$I105,0)</f>
        <v>0</v>
      </c>
      <c r="G105" s="1" t="n">
        <f aca="false">IF(Pertenencia!G105=1,Plan!$I105,0)</f>
        <v>2</v>
      </c>
      <c r="H105" s="1" t="n">
        <f aca="false">IF(Pertenencia!H105=1,Plan!$I105,0)</f>
        <v>0</v>
      </c>
      <c r="I105" s="1" t="n">
        <f aca="false">IF(Pertenencia!I105=1,Plan!$I105,0)</f>
        <v>0</v>
      </c>
      <c r="J105" s="1" t="n">
        <f aca="false">IF(Pertenencia!J105=1,Plan!$I105,0)</f>
        <v>0</v>
      </c>
      <c r="K105" s="1" t="n">
        <f aca="false">IF(Pertenencia!K105=1,Plan!$I105,0)</f>
        <v>2</v>
      </c>
      <c r="L105" s="1" t="n">
        <f aca="false">IF(Pertenencia!L105=1,Plan!$I105,0)</f>
        <v>2</v>
      </c>
      <c r="M105" s="1" t="n">
        <f aca="false">IF(Pertenencia!M105=1,Plan!$I105,0)</f>
        <v>2</v>
      </c>
    </row>
    <row r="106" customFormat="false" ht="15" hidden="false" customHeight="true" outlineLevel="0" collapsed="false">
      <c r="A106" s="1" t="s">
        <v>447</v>
      </c>
      <c r="B106" s="1" t="n">
        <f aca="false">IF(Pertenencia!B106=1,Plan!$I106,0)</f>
        <v>0</v>
      </c>
      <c r="C106" s="1" t="n">
        <f aca="false">IF(Pertenencia!C106=1,Plan!$I106,0)</f>
        <v>0</v>
      </c>
      <c r="D106" s="1" t="n">
        <f aca="false">IF(Pertenencia!D106=1,Plan!$I106,0)</f>
        <v>0</v>
      </c>
      <c r="E106" s="1" t="n">
        <f aca="false">IF(Pertenencia!E106=1,Plan!$I106,0)</f>
        <v>0</v>
      </c>
      <c r="F106" s="1" t="n">
        <f aca="false">IF(Pertenencia!F106=1,Plan!$I106,0)</f>
        <v>0</v>
      </c>
      <c r="G106" s="1" t="n">
        <f aca="false">IF(Pertenencia!G106=1,Plan!$I106,0)</f>
        <v>0</v>
      </c>
      <c r="H106" s="1" t="n">
        <f aca="false">IF(Pertenencia!H106=1,Plan!$I106,0)</f>
        <v>0</v>
      </c>
      <c r="I106" s="1" t="n">
        <f aca="false">IF(Pertenencia!I106=1,Plan!$I106,0)</f>
        <v>0</v>
      </c>
      <c r="J106" s="1" t="n">
        <f aca="false">IF(Pertenencia!J106=1,Plan!$I106,0)</f>
        <v>0</v>
      </c>
      <c r="K106" s="1" t="n">
        <f aca="false">IF(Pertenencia!K106=1,Plan!$I106,0)</f>
        <v>2</v>
      </c>
      <c r="L106" s="1" t="n">
        <f aca="false">IF(Pertenencia!L106=1,Plan!$I106,0)</f>
        <v>0</v>
      </c>
      <c r="M106" s="1" t="n">
        <f aca="false">IF(Pertenencia!M106=1,Plan!$I106,0)</f>
        <v>0</v>
      </c>
    </row>
    <row r="107" customFormat="false" ht="15" hidden="false" customHeight="true" outlineLevel="0" collapsed="false">
      <c r="A107" s="1" t="s">
        <v>451</v>
      </c>
      <c r="B107" s="1" t="n">
        <f aca="false">IF(Pertenencia!B107=1,Plan!$I107,0)</f>
        <v>0</v>
      </c>
      <c r="C107" s="1" t="n">
        <f aca="false">IF(Pertenencia!C107=1,Plan!$I107,0)</f>
        <v>0</v>
      </c>
      <c r="D107" s="1" t="n">
        <f aca="false">IF(Pertenencia!D107=1,Plan!$I107,0)</f>
        <v>0</v>
      </c>
      <c r="E107" s="1" t="n">
        <f aca="false">IF(Pertenencia!E107=1,Plan!$I107,0)</f>
        <v>0</v>
      </c>
      <c r="F107" s="1" t="n">
        <f aca="false">IF(Pertenencia!F107=1,Plan!$I107,0)</f>
        <v>0</v>
      </c>
      <c r="G107" s="1" t="n">
        <f aca="false">IF(Pertenencia!G107=1,Plan!$I107,0)</f>
        <v>0</v>
      </c>
      <c r="H107" s="1" t="n">
        <f aca="false">IF(Pertenencia!H107=1,Plan!$I107,0)</f>
        <v>0</v>
      </c>
      <c r="I107" s="1" t="n">
        <f aca="false">IF(Pertenencia!I107=1,Plan!$I107,0)</f>
        <v>0</v>
      </c>
      <c r="J107" s="1" t="n">
        <f aca="false">IF(Pertenencia!J107=1,Plan!$I107,0)</f>
        <v>0</v>
      </c>
      <c r="K107" s="1" t="n">
        <f aca="false">IF(Pertenencia!K107=1,Plan!$I107,0)</f>
        <v>0</v>
      </c>
      <c r="L107" s="1" t="n">
        <f aca="false">IF(Pertenencia!L107=1,Plan!$I107,0)</f>
        <v>2</v>
      </c>
      <c r="M107" s="1" t="n">
        <f aca="false">IF(Pertenencia!M107=1,Plan!$I107,0)</f>
        <v>0</v>
      </c>
    </row>
    <row r="108" customFormat="false" ht="15" hidden="false" customHeight="true" outlineLevel="0" collapsed="false">
      <c r="A108" s="1" t="s">
        <v>455</v>
      </c>
      <c r="B108" s="1" t="n">
        <f aca="false">IF(Pertenencia!B108=1,Plan!$I108,0)</f>
        <v>0</v>
      </c>
      <c r="C108" s="1" t="n">
        <f aca="false">IF(Pertenencia!C108=1,Plan!$I108,0)</f>
        <v>0</v>
      </c>
      <c r="D108" s="1" t="n">
        <f aca="false">IF(Pertenencia!D108=1,Plan!$I108,0)</f>
        <v>0</v>
      </c>
      <c r="E108" s="1" t="n">
        <f aca="false">IF(Pertenencia!E108=1,Plan!$I108,0)</f>
        <v>0</v>
      </c>
      <c r="F108" s="1" t="n">
        <f aca="false">IF(Pertenencia!F108=1,Plan!$I108,0)</f>
        <v>0</v>
      </c>
      <c r="G108" s="1" t="n">
        <f aca="false">IF(Pertenencia!G108=1,Plan!$I108,0)</f>
        <v>2</v>
      </c>
      <c r="H108" s="1" t="n">
        <f aca="false">IF(Pertenencia!H108=1,Plan!$I108,0)</f>
        <v>0</v>
      </c>
      <c r="I108" s="1" t="n">
        <f aca="false">IF(Pertenencia!I108=1,Plan!$I108,0)</f>
        <v>0</v>
      </c>
      <c r="J108" s="1" t="n">
        <f aca="false">IF(Pertenencia!J108=1,Plan!$I108,0)</f>
        <v>0</v>
      </c>
      <c r="K108" s="1" t="n">
        <f aca="false">IF(Pertenencia!K108=1,Plan!$I108,0)</f>
        <v>0</v>
      </c>
      <c r="L108" s="1" t="n">
        <f aca="false">IF(Pertenencia!L108=1,Plan!$I108,0)</f>
        <v>0</v>
      </c>
      <c r="M108" s="1" t="n">
        <f aca="false">IF(Pertenencia!M108=1,Plan!$I108,0)</f>
        <v>2</v>
      </c>
    </row>
    <row r="109" customFormat="false" ht="15" hidden="false" customHeight="true" outlineLevel="0" collapsed="false">
      <c r="A109" s="1" t="s">
        <v>459</v>
      </c>
      <c r="B109" s="1" t="n">
        <f aca="false">IF(Pertenencia!B109=1,Plan!$I109,0)</f>
        <v>0</v>
      </c>
      <c r="C109" s="1" t="n">
        <f aca="false">IF(Pertenencia!C109=1,Plan!$I109,0)</f>
        <v>0</v>
      </c>
      <c r="D109" s="1" t="n">
        <f aca="false">IF(Pertenencia!D109=1,Plan!$I109,0)</f>
        <v>0</v>
      </c>
      <c r="E109" s="1" t="n">
        <f aca="false">IF(Pertenencia!E109=1,Plan!$I109,0)</f>
        <v>0</v>
      </c>
      <c r="F109" s="1" t="n">
        <f aca="false">IF(Pertenencia!F109=1,Plan!$I109,0)</f>
        <v>0</v>
      </c>
      <c r="G109" s="1" t="n">
        <f aca="false">IF(Pertenencia!G109=1,Plan!$I109,0)</f>
        <v>0</v>
      </c>
      <c r="H109" s="1" t="n">
        <f aca="false">IF(Pertenencia!H109=1,Plan!$I109,0)</f>
        <v>0</v>
      </c>
      <c r="I109" s="1" t="n">
        <f aca="false">IF(Pertenencia!I109=1,Plan!$I109,0)</f>
        <v>0</v>
      </c>
      <c r="J109" s="1" t="n">
        <f aca="false">IF(Pertenencia!J109=1,Plan!$I109,0)</f>
        <v>0</v>
      </c>
      <c r="K109" s="1" t="n">
        <f aca="false">IF(Pertenencia!K109=1,Plan!$I109,0)</f>
        <v>2</v>
      </c>
      <c r="L109" s="1" t="n">
        <f aca="false">IF(Pertenencia!L109=1,Plan!$I109,0)</f>
        <v>2</v>
      </c>
      <c r="M109" s="1" t="n">
        <f aca="false">IF(Pertenencia!M109=1,Plan!$I109,0)</f>
        <v>2</v>
      </c>
    </row>
    <row r="110" customFormat="false" ht="15" hidden="false" customHeight="true" outlineLevel="0" collapsed="false">
      <c r="A110" s="1" t="s">
        <v>462</v>
      </c>
      <c r="B110" s="1" t="n">
        <f aca="false">IF(Pertenencia!B110=1,Plan!$I110,0)</f>
        <v>0</v>
      </c>
      <c r="C110" s="1" t="n">
        <f aca="false">IF(Pertenencia!C110=1,Plan!$I110,0)</f>
        <v>0</v>
      </c>
      <c r="D110" s="1" t="n">
        <f aca="false">IF(Pertenencia!D110=1,Plan!$I110,0)</f>
        <v>0</v>
      </c>
      <c r="E110" s="1" t="n">
        <f aca="false">IF(Pertenencia!E110=1,Plan!$I110,0)</f>
        <v>0</v>
      </c>
      <c r="F110" s="1" t="n">
        <f aca="false">IF(Pertenencia!F110=1,Plan!$I110,0)</f>
        <v>0</v>
      </c>
      <c r="G110" s="1" t="n">
        <f aca="false">IF(Pertenencia!G110=1,Plan!$I110,0)</f>
        <v>0</v>
      </c>
      <c r="H110" s="1" t="n">
        <f aca="false">IF(Pertenencia!H110=1,Plan!$I110,0)</f>
        <v>0</v>
      </c>
      <c r="I110" s="1" t="n">
        <f aca="false">IF(Pertenencia!I110=1,Plan!$I110,0)</f>
        <v>0</v>
      </c>
      <c r="J110" s="1" t="n">
        <f aca="false">IF(Pertenencia!J110=1,Plan!$I110,0)</f>
        <v>0</v>
      </c>
      <c r="K110" s="1" t="n">
        <f aca="false">IF(Pertenencia!K110=1,Plan!$I110,0)</f>
        <v>2</v>
      </c>
      <c r="L110" s="1" t="n">
        <f aca="false">IF(Pertenencia!L110=1,Plan!$I110,0)</f>
        <v>2</v>
      </c>
      <c r="M110" s="1" t="n">
        <f aca="false">IF(Pertenencia!M110=1,Plan!$I110,0)</f>
        <v>2</v>
      </c>
    </row>
    <row r="111" customFormat="false" ht="15" hidden="false" customHeight="true" outlineLevel="0" collapsed="false">
      <c r="A111" s="1" t="s">
        <v>465</v>
      </c>
      <c r="B111" s="1" t="n">
        <f aca="false">IF(Pertenencia!B111=1,Plan!$I111,0)</f>
        <v>0</v>
      </c>
      <c r="C111" s="1" t="n">
        <f aca="false">IF(Pertenencia!C111=1,Plan!$I111,0)</f>
        <v>0</v>
      </c>
      <c r="D111" s="1" t="n">
        <f aca="false">IF(Pertenencia!D111=1,Plan!$I111,0)</f>
        <v>0</v>
      </c>
      <c r="E111" s="1" t="n">
        <f aca="false">IF(Pertenencia!E111=1,Plan!$I111,0)</f>
        <v>0</v>
      </c>
      <c r="F111" s="1" t="n">
        <f aca="false">IF(Pertenencia!F111=1,Plan!$I111,0)</f>
        <v>0</v>
      </c>
      <c r="G111" s="1" t="n">
        <f aca="false">IF(Pertenencia!G111=1,Plan!$I111,0)</f>
        <v>0</v>
      </c>
      <c r="H111" s="1" t="n">
        <f aca="false">IF(Pertenencia!H111=1,Plan!$I111,0)</f>
        <v>0</v>
      </c>
      <c r="I111" s="1" t="n">
        <f aca="false">IF(Pertenencia!I111=1,Plan!$I111,0)</f>
        <v>0</v>
      </c>
      <c r="J111" s="1" t="n">
        <f aca="false">IF(Pertenencia!J111=1,Plan!$I111,0)</f>
        <v>0</v>
      </c>
      <c r="K111" s="1" t="n">
        <f aca="false">IF(Pertenencia!K111=1,Plan!$I111,0)</f>
        <v>1</v>
      </c>
      <c r="L111" s="1" t="n">
        <f aca="false">IF(Pertenencia!L111=1,Plan!$I111,0)</f>
        <v>0</v>
      </c>
      <c r="M111" s="1" t="n">
        <f aca="false">IF(Pertenencia!M111=1,Plan!$I111,0)</f>
        <v>0</v>
      </c>
    </row>
    <row r="112" customFormat="false" ht="15" hidden="false" customHeight="true" outlineLevel="0" collapsed="false">
      <c r="A112" s="1" t="s">
        <v>469</v>
      </c>
      <c r="B112" s="1" t="n">
        <f aca="false">IF(Pertenencia!B112=1,Plan!$I112,0)</f>
        <v>0</v>
      </c>
      <c r="C112" s="1" t="n">
        <f aca="false">IF(Pertenencia!C112=1,Plan!$I112,0)</f>
        <v>0</v>
      </c>
      <c r="D112" s="1" t="n">
        <f aca="false">IF(Pertenencia!D112=1,Plan!$I112,0)</f>
        <v>0</v>
      </c>
      <c r="E112" s="1" t="n">
        <f aca="false">IF(Pertenencia!E112=1,Plan!$I112,0)</f>
        <v>0</v>
      </c>
      <c r="F112" s="1" t="n">
        <f aca="false">IF(Pertenencia!F112=1,Plan!$I112,0)</f>
        <v>0</v>
      </c>
      <c r="G112" s="1" t="n">
        <f aca="false">IF(Pertenencia!G112=1,Plan!$I112,0)</f>
        <v>0</v>
      </c>
      <c r="H112" s="1" t="n">
        <f aca="false">IF(Pertenencia!H112=1,Plan!$I112,0)</f>
        <v>0</v>
      </c>
      <c r="I112" s="1" t="n">
        <f aca="false">IF(Pertenencia!I112=1,Plan!$I112,0)</f>
        <v>0</v>
      </c>
      <c r="J112" s="1" t="n">
        <f aca="false">IF(Pertenencia!J112=1,Plan!$I112,0)</f>
        <v>0</v>
      </c>
      <c r="K112" s="1" t="n">
        <f aca="false">IF(Pertenencia!K112=1,Plan!$I112,0)</f>
        <v>0</v>
      </c>
      <c r="L112" s="1" t="n">
        <f aca="false">IF(Pertenencia!L112=1,Plan!$I112,0)</f>
        <v>2</v>
      </c>
      <c r="M112" s="1" t="n">
        <f aca="false">IF(Pertenencia!M112=1,Plan!$I112,0)</f>
        <v>0</v>
      </c>
    </row>
    <row r="113" customFormat="false" ht="15" hidden="false" customHeight="true" outlineLevel="0" collapsed="false">
      <c r="A113" s="1" t="s">
        <v>473</v>
      </c>
      <c r="B113" s="1" t="n">
        <f aca="false">IF(Pertenencia!B113=1,Plan!$I113,0)</f>
        <v>0</v>
      </c>
      <c r="C113" s="1" t="n">
        <f aca="false">IF(Pertenencia!C113=1,Plan!$I113,0)</f>
        <v>0</v>
      </c>
      <c r="D113" s="1" t="n">
        <f aca="false">IF(Pertenencia!D113=1,Plan!$I113,0)</f>
        <v>0</v>
      </c>
      <c r="E113" s="1" t="n">
        <f aca="false">IF(Pertenencia!E113=1,Plan!$I113,0)</f>
        <v>0</v>
      </c>
      <c r="F113" s="1" t="n">
        <f aca="false">IF(Pertenencia!F113=1,Plan!$I113,0)</f>
        <v>0</v>
      </c>
      <c r="G113" s="1" t="n">
        <f aca="false">IF(Pertenencia!G113=1,Plan!$I113,0)</f>
        <v>0</v>
      </c>
      <c r="H113" s="1" t="n">
        <f aca="false">IF(Pertenencia!H113=1,Plan!$I113,0)</f>
        <v>0</v>
      </c>
      <c r="I113" s="1" t="n">
        <f aca="false">IF(Pertenencia!I113=1,Plan!$I113,0)</f>
        <v>0</v>
      </c>
      <c r="J113" s="1" t="n">
        <f aca="false">IF(Pertenencia!J113=1,Plan!$I113,0)</f>
        <v>0</v>
      </c>
      <c r="K113" s="1" t="n">
        <f aca="false">IF(Pertenencia!K113=1,Plan!$I113,0)</f>
        <v>0</v>
      </c>
      <c r="L113" s="1" t="n">
        <f aca="false">IF(Pertenencia!L113=1,Plan!$I113,0)</f>
        <v>0</v>
      </c>
      <c r="M113" s="1" t="n">
        <f aca="false">IF(Pertenencia!M113=1,Plan!$I113,0)</f>
        <v>1</v>
      </c>
    </row>
    <row r="114" customFormat="false" ht="15" hidden="false" customHeight="true" outlineLevel="0" collapsed="false">
      <c r="A114" s="1" t="s">
        <v>476</v>
      </c>
      <c r="B114" s="1" t="n">
        <f aca="false">IF(Pertenencia!B114=1,Plan!$I114,0)</f>
        <v>0</v>
      </c>
      <c r="C114" s="1" t="n">
        <f aca="false">IF(Pertenencia!C114=1,Plan!$I114,0)</f>
        <v>0</v>
      </c>
      <c r="D114" s="1" t="n">
        <f aca="false">IF(Pertenencia!D114=1,Plan!$I114,0)</f>
        <v>0</v>
      </c>
      <c r="E114" s="1" t="n">
        <f aca="false">IF(Pertenencia!E114=1,Plan!$I114,0)</f>
        <v>0</v>
      </c>
      <c r="F114" s="1" t="n">
        <f aca="false">IF(Pertenencia!F114=1,Plan!$I114,0)</f>
        <v>0</v>
      </c>
      <c r="G114" s="1" t="n">
        <f aca="false">IF(Pertenencia!G114=1,Plan!$I114,0)</f>
        <v>0</v>
      </c>
      <c r="H114" s="1" t="n">
        <f aca="false">IF(Pertenencia!H114=1,Plan!$I114,0)</f>
        <v>0</v>
      </c>
      <c r="I114" s="1" t="n">
        <f aca="false">IF(Pertenencia!I114=1,Plan!$I114,0)</f>
        <v>0</v>
      </c>
      <c r="J114" s="1" t="n">
        <f aca="false">IF(Pertenencia!J114=1,Plan!$I114,0)</f>
        <v>0</v>
      </c>
      <c r="K114" s="1" t="n">
        <f aca="false">IF(Pertenencia!K114=1,Plan!$I114,0)</f>
        <v>1</v>
      </c>
      <c r="L114" s="1" t="n">
        <f aca="false">IF(Pertenencia!L114=1,Plan!$I114,0)</f>
        <v>1</v>
      </c>
      <c r="M114" s="1" t="n">
        <f aca="false">IF(Pertenencia!M114=1,Plan!$I114,0)</f>
        <v>1</v>
      </c>
    </row>
    <row r="115" customFormat="false" ht="15" hidden="false" customHeight="true" outlineLevel="0" collapsed="false">
      <c r="A115" s="1" t="s">
        <v>479</v>
      </c>
      <c r="B115" s="1" t="n">
        <f aca="false">IF(Pertenencia!B115=1,Plan!$I115,0)</f>
        <v>0</v>
      </c>
      <c r="C115" s="1" t="n">
        <f aca="false">IF(Pertenencia!C115=1,Plan!$I115,0)</f>
        <v>0</v>
      </c>
      <c r="D115" s="1" t="n">
        <f aca="false">IF(Pertenencia!D115=1,Plan!$I115,0)</f>
        <v>0</v>
      </c>
      <c r="E115" s="1" t="n">
        <f aca="false">IF(Pertenencia!E115=1,Plan!$I115,0)</f>
        <v>0</v>
      </c>
      <c r="F115" s="1" t="n">
        <f aca="false">IF(Pertenencia!F115=1,Plan!$I115,0)</f>
        <v>0</v>
      </c>
      <c r="G115" s="1" t="n">
        <f aca="false">IF(Pertenencia!G115=1,Plan!$I115,0)</f>
        <v>0</v>
      </c>
      <c r="H115" s="1" t="n">
        <f aca="false">IF(Pertenencia!H115=1,Plan!$I115,0)</f>
        <v>0</v>
      </c>
      <c r="I115" s="1" t="n">
        <f aca="false">IF(Pertenencia!I115=1,Plan!$I115,0)</f>
        <v>0</v>
      </c>
      <c r="J115" s="1" t="n">
        <f aca="false">IF(Pertenencia!J115=1,Plan!$I115,0)</f>
        <v>0</v>
      </c>
      <c r="K115" s="1" t="n">
        <f aca="false">IF(Pertenencia!K115=1,Plan!$I115,0)</f>
        <v>1</v>
      </c>
      <c r="L115" s="1" t="n">
        <f aca="false">IF(Pertenencia!L115=1,Plan!$I115,0)</f>
        <v>0</v>
      </c>
      <c r="M115" s="1" t="n">
        <f aca="false">IF(Pertenencia!M115=1,Plan!$I115,0)</f>
        <v>0</v>
      </c>
    </row>
    <row r="116" customFormat="false" ht="15" hidden="false" customHeight="true" outlineLevel="0" collapsed="false">
      <c r="A116" s="1" t="s">
        <v>482</v>
      </c>
      <c r="B116" s="1" t="n">
        <f aca="false">IF(Pertenencia!B116=1,Plan!$I116,0)</f>
        <v>0</v>
      </c>
      <c r="C116" s="1" t="n">
        <f aca="false">IF(Pertenencia!C116=1,Plan!$I116,0)</f>
        <v>0</v>
      </c>
      <c r="D116" s="1" t="n">
        <f aca="false">IF(Pertenencia!D116=1,Plan!$I116,0)</f>
        <v>0</v>
      </c>
      <c r="E116" s="1" t="n">
        <f aca="false">IF(Pertenencia!E116=1,Plan!$I116,0)</f>
        <v>0</v>
      </c>
      <c r="F116" s="1" t="n">
        <f aca="false">IF(Pertenencia!F116=1,Plan!$I116,0)</f>
        <v>0</v>
      </c>
      <c r="G116" s="1" t="n">
        <f aca="false">IF(Pertenencia!G116=1,Plan!$I116,0)</f>
        <v>0</v>
      </c>
      <c r="H116" s="1" t="n">
        <f aca="false">IF(Pertenencia!H116=1,Plan!$I116,0)</f>
        <v>0</v>
      </c>
      <c r="I116" s="1" t="n">
        <f aca="false">IF(Pertenencia!I116=1,Plan!$I116,0)</f>
        <v>0</v>
      </c>
      <c r="J116" s="1" t="n">
        <f aca="false">IF(Pertenencia!J116=1,Plan!$I116,0)</f>
        <v>0</v>
      </c>
      <c r="K116" s="1" t="n">
        <f aca="false">IF(Pertenencia!K116=1,Plan!$I116,0)</f>
        <v>0</v>
      </c>
      <c r="L116" s="1" t="n">
        <f aca="false">IF(Pertenencia!L116=1,Plan!$I116,0)</f>
        <v>1</v>
      </c>
      <c r="M116" s="1" t="n">
        <f aca="false">IF(Pertenencia!M116=1,Plan!$I116,0)</f>
        <v>0</v>
      </c>
    </row>
    <row r="117" customFormat="false" ht="15" hidden="false" customHeight="true" outlineLevel="0" collapsed="false">
      <c r="A117" s="1" t="s">
        <v>485</v>
      </c>
      <c r="B117" s="1" t="n">
        <f aca="false">IF(Pertenencia!B117=1,Plan!$I117,0)</f>
        <v>0</v>
      </c>
      <c r="C117" s="1" t="n">
        <f aca="false">IF(Pertenencia!C117=1,Plan!$I117,0)</f>
        <v>0</v>
      </c>
      <c r="D117" s="1" t="n">
        <f aca="false">IF(Pertenencia!D117=1,Plan!$I117,0)</f>
        <v>0</v>
      </c>
      <c r="E117" s="1" t="n">
        <f aca="false">IF(Pertenencia!E117=1,Plan!$I117,0)</f>
        <v>0</v>
      </c>
      <c r="F117" s="1" t="n">
        <f aca="false">IF(Pertenencia!F117=1,Plan!$I117,0)</f>
        <v>0</v>
      </c>
      <c r="G117" s="1" t="n">
        <f aca="false">IF(Pertenencia!G117=1,Plan!$I117,0)</f>
        <v>0</v>
      </c>
      <c r="H117" s="1" t="n">
        <f aca="false">IF(Pertenencia!H117=1,Plan!$I117,0)</f>
        <v>0</v>
      </c>
      <c r="I117" s="1" t="n">
        <f aca="false">IF(Pertenencia!I117=1,Plan!$I117,0)</f>
        <v>0</v>
      </c>
      <c r="J117" s="1" t="n">
        <f aca="false">IF(Pertenencia!J117=1,Plan!$I117,0)</f>
        <v>0</v>
      </c>
      <c r="K117" s="1" t="n">
        <f aca="false">IF(Pertenencia!K117=1,Plan!$I117,0)</f>
        <v>0</v>
      </c>
      <c r="L117" s="1" t="n">
        <f aca="false">IF(Pertenencia!L117=1,Plan!$I117,0)</f>
        <v>0</v>
      </c>
      <c r="M117" s="1" t="n">
        <f aca="false">IF(Pertenencia!M117=1,Plan!$I117,0)</f>
        <v>1</v>
      </c>
    </row>
    <row r="118" customFormat="false" ht="15" hidden="false" customHeight="true" outlineLevel="0" collapsed="false">
      <c r="A118" s="1" t="s">
        <v>488</v>
      </c>
      <c r="B118" s="1" t="n">
        <f aca="false">IF(Pertenencia!B118=1,Plan!$I118,0)</f>
        <v>0</v>
      </c>
      <c r="C118" s="1" t="n">
        <f aca="false">IF(Pertenencia!C118=1,Plan!$I118,0)</f>
        <v>0</v>
      </c>
      <c r="D118" s="1" t="n">
        <f aca="false">IF(Pertenencia!D118=1,Plan!$I118,0)</f>
        <v>0</v>
      </c>
      <c r="E118" s="1" t="n">
        <f aca="false">IF(Pertenencia!E118=1,Plan!$I118,0)</f>
        <v>0</v>
      </c>
      <c r="F118" s="1" t="n">
        <f aca="false">IF(Pertenencia!F118=1,Plan!$I118,0)</f>
        <v>0</v>
      </c>
      <c r="G118" s="1" t="n">
        <f aca="false">IF(Pertenencia!G118=1,Plan!$I118,0)</f>
        <v>0</v>
      </c>
      <c r="H118" s="1" t="n">
        <f aca="false">IF(Pertenencia!H118=1,Plan!$I118,0)</f>
        <v>0</v>
      </c>
      <c r="I118" s="1" t="n">
        <f aca="false">IF(Pertenencia!I118=1,Plan!$I118,0)</f>
        <v>0</v>
      </c>
      <c r="J118" s="1" t="n">
        <f aca="false">IF(Pertenencia!J118=1,Plan!$I118,0)</f>
        <v>0</v>
      </c>
      <c r="K118" s="1" t="n">
        <f aca="false">IF(Pertenencia!K118=1,Plan!$I118,0)</f>
        <v>0</v>
      </c>
      <c r="L118" s="1" t="n">
        <f aca="false">IF(Pertenencia!L118=1,Plan!$I118,0)</f>
        <v>0</v>
      </c>
      <c r="M118" s="1" t="n">
        <f aca="false">IF(Pertenencia!M118=1,Plan!$I118,0)</f>
        <v>1</v>
      </c>
    </row>
    <row r="119" customFormat="false" ht="15" hidden="false" customHeight="true" outlineLevel="0" collapsed="false">
      <c r="A119" s="1" t="s">
        <v>491</v>
      </c>
      <c r="B119" s="1" t="n">
        <f aca="false">IF(Pertenencia!B119=1,Plan!$I119,0)</f>
        <v>0</v>
      </c>
      <c r="C119" s="1" t="n">
        <f aca="false">IF(Pertenencia!C119=1,Plan!$I119,0)</f>
        <v>0</v>
      </c>
      <c r="D119" s="1" t="n">
        <f aca="false">IF(Pertenencia!D119=1,Plan!$I119,0)</f>
        <v>0</v>
      </c>
      <c r="E119" s="1" t="n">
        <f aca="false">IF(Pertenencia!E119=1,Plan!$I119,0)</f>
        <v>0</v>
      </c>
      <c r="F119" s="1" t="n">
        <f aca="false">IF(Pertenencia!F119=1,Plan!$I119,0)</f>
        <v>0</v>
      </c>
      <c r="G119" s="1" t="n">
        <f aca="false">IF(Pertenencia!G119=1,Plan!$I119,0)</f>
        <v>0</v>
      </c>
      <c r="H119" s="1" t="n">
        <f aca="false">IF(Pertenencia!H119=1,Plan!$I119,0)</f>
        <v>0</v>
      </c>
      <c r="I119" s="1" t="n">
        <f aca="false">IF(Pertenencia!I119=1,Plan!$I119,0)</f>
        <v>0</v>
      </c>
      <c r="J119" s="1" t="n">
        <f aca="false">IF(Pertenencia!J119=1,Plan!$I119,0)</f>
        <v>0</v>
      </c>
      <c r="K119" s="1" t="n">
        <f aca="false">IF(Pertenencia!K119=1,Plan!$I119,0)</f>
        <v>0</v>
      </c>
      <c r="L119" s="1" t="n">
        <f aca="false">IF(Pertenencia!L119=1,Plan!$I119,0)</f>
        <v>0</v>
      </c>
      <c r="M119" s="1" t="n">
        <f aca="false">IF(Pertenencia!M119=1,Plan!$I119,0)</f>
        <v>1</v>
      </c>
    </row>
    <row r="120" customFormat="false" ht="15" hidden="false" customHeight="true" outlineLevel="0" collapsed="false">
      <c r="A120" s="1" t="s">
        <v>494</v>
      </c>
      <c r="B120" s="1" t="n">
        <f aca="false">IF(Pertenencia!B120=1,Plan!$I120,0)</f>
        <v>0</v>
      </c>
      <c r="C120" s="1" t="n">
        <f aca="false">IF(Pertenencia!C120=1,Plan!$I120,0)</f>
        <v>0</v>
      </c>
      <c r="D120" s="1" t="n">
        <f aca="false">IF(Pertenencia!D120=1,Plan!$I120,0)</f>
        <v>0</v>
      </c>
      <c r="E120" s="1" t="n">
        <f aca="false">IF(Pertenencia!E120=1,Plan!$I120,0)</f>
        <v>0</v>
      </c>
      <c r="F120" s="1" t="n">
        <f aca="false">IF(Pertenencia!F120=1,Plan!$I120,0)</f>
        <v>0</v>
      </c>
      <c r="G120" s="1" t="n">
        <f aca="false">IF(Pertenencia!G120=1,Plan!$I120,0)</f>
        <v>0</v>
      </c>
      <c r="H120" s="1" t="n">
        <f aca="false">IF(Pertenencia!H120=1,Plan!$I120,0)</f>
        <v>0</v>
      </c>
      <c r="I120" s="1" t="n">
        <f aca="false">IF(Pertenencia!I120=1,Plan!$I120,0)</f>
        <v>0</v>
      </c>
      <c r="J120" s="1" t="n">
        <f aca="false">IF(Pertenencia!J120=1,Plan!$I120,0)</f>
        <v>0</v>
      </c>
      <c r="K120" s="1" t="n">
        <f aca="false">IF(Pertenencia!K120=1,Plan!$I120,0)</f>
        <v>0</v>
      </c>
      <c r="L120" s="1" t="n">
        <f aca="false">IF(Pertenencia!L120=1,Plan!$I120,0)</f>
        <v>0</v>
      </c>
      <c r="M120" s="1" t="n">
        <f aca="false">IF(Pertenencia!M120=1,Plan!$I120,0)</f>
        <v>1</v>
      </c>
    </row>
    <row r="121" customFormat="false" ht="15" hidden="false" customHeight="true" outlineLevel="0" collapsed="false">
      <c r="A121" s="1" t="s">
        <v>498</v>
      </c>
      <c r="B121" s="1" t="n">
        <f aca="false">IF(Pertenencia!B121=1,Plan!$I121,0)</f>
        <v>0</v>
      </c>
      <c r="C121" s="1" t="n">
        <f aca="false">IF(Pertenencia!C121=1,Plan!$I121,0)</f>
        <v>0</v>
      </c>
      <c r="D121" s="1" t="n">
        <f aca="false">IF(Pertenencia!D121=1,Plan!$I121,0)</f>
        <v>0</v>
      </c>
      <c r="E121" s="1" t="n">
        <f aca="false">IF(Pertenencia!E121=1,Plan!$I121,0)</f>
        <v>0</v>
      </c>
      <c r="F121" s="1" t="n">
        <f aca="false">IF(Pertenencia!F121=1,Plan!$I121,0)</f>
        <v>0</v>
      </c>
      <c r="G121" s="1" t="n">
        <f aca="false">IF(Pertenencia!G121=1,Plan!$I121,0)</f>
        <v>0</v>
      </c>
      <c r="H121" s="1" t="n">
        <f aca="false">IF(Pertenencia!H121=1,Plan!$I121,0)</f>
        <v>0</v>
      </c>
      <c r="I121" s="1" t="n">
        <f aca="false">IF(Pertenencia!I121=1,Plan!$I121,0)</f>
        <v>0</v>
      </c>
      <c r="J121" s="1" t="n">
        <f aca="false">IF(Pertenencia!J121=1,Plan!$I121,0)</f>
        <v>0</v>
      </c>
      <c r="K121" s="1" t="n">
        <f aca="false">IF(Pertenencia!K121=1,Plan!$I121,0)</f>
        <v>0</v>
      </c>
      <c r="L121" s="1" t="n">
        <f aca="false">IF(Pertenencia!L121=1,Plan!$I121,0)</f>
        <v>0</v>
      </c>
      <c r="M121" s="1" t="n">
        <f aca="false">IF(Pertenencia!M121=1,Plan!$I121,0)</f>
        <v>1</v>
      </c>
    </row>
    <row r="122" customFormat="false" ht="15" hidden="false" customHeight="true" outlineLevel="0" collapsed="false">
      <c r="A122" s="1" t="s">
        <v>501</v>
      </c>
      <c r="B122" s="1" t="n">
        <f aca="false">IF(Pertenencia!B122=1,Plan!$I122,0)</f>
        <v>0</v>
      </c>
      <c r="C122" s="1" t="n">
        <f aca="false">IF(Pertenencia!C122=1,Plan!$I122,0)</f>
        <v>0</v>
      </c>
      <c r="D122" s="1" t="n">
        <f aca="false">IF(Pertenencia!D122=1,Plan!$I122,0)</f>
        <v>0</v>
      </c>
      <c r="E122" s="1" t="n">
        <f aca="false">IF(Pertenencia!E122=1,Plan!$I122,0)</f>
        <v>0</v>
      </c>
      <c r="F122" s="1" t="n">
        <f aca="false">IF(Pertenencia!F122=1,Plan!$I122,0)</f>
        <v>0</v>
      </c>
      <c r="G122" s="1" t="n">
        <f aca="false">IF(Pertenencia!G122=1,Plan!$I122,0)</f>
        <v>0</v>
      </c>
      <c r="H122" s="1" t="n">
        <f aca="false">IF(Pertenencia!H122=1,Plan!$I122,0)</f>
        <v>0</v>
      </c>
      <c r="I122" s="1" t="n">
        <f aca="false">IF(Pertenencia!I122=1,Plan!$I122,0)</f>
        <v>0</v>
      </c>
      <c r="J122" s="1" t="n">
        <f aca="false">IF(Pertenencia!J122=1,Plan!$I122,0)</f>
        <v>0</v>
      </c>
      <c r="K122" s="1" t="n">
        <f aca="false">IF(Pertenencia!K122=1,Plan!$I122,0)</f>
        <v>0</v>
      </c>
      <c r="L122" s="1" t="n">
        <f aca="false">IF(Pertenencia!L122=1,Plan!$I122,0)</f>
        <v>0</v>
      </c>
      <c r="M122" s="1" t="n">
        <f aca="false">IF(Pertenencia!M122=1,Plan!$I122,0)</f>
        <v>1</v>
      </c>
    </row>
    <row r="123" customFormat="false" ht="15" hidden="false" customHeight="true" outlineLevel="0" collapsed="false">
      <c r="A123" s="1" t="s">
        <v>504</v>
      </c>
      <c r="B123" s="1" t="n">
        <f aca="false">IF(Pertenencia!B123=1,Plan!$I123,0)</f>
        <v>0</v>
      </c>
      <c r="C123" s="1" t="n">
        <f aca="false">IF(Pertenencia!C123=1,Plan!$I123,0)</f>
        <v>0</v>
      </c>
      <c r="D123" s="1" t="n">
        <f aca="false">IF(Pertenencia!D123=1,Plan!$I123,0)</f>
        <v>0</v>
      </c>
      <c r="E123" s="1" t="n">
        <f aca="false">IF(Pertenencia!E123=1,Plan!$I123,0)</f>
        <v>0</v>
      </c>
      <c r="F123" s="1" t="n">
        <f aca="false">IF(Pertenencia!F123=1,Plan!$I123,0)</f>
        <v>0</v>
      </c>
      <c r="G123" s="1" t="n">
        <f aca="false">IF(Pertenencia!G123=1,Plan!$I123,0)</f>
        <v>0</v>
      </c>
      <c r="H123" s="1" t="n">
        <f aca="false">IF(Pertenencia!H123=1,Plan!$I123,0)</f>
        <v>0</v>
      </c>
      <c r="I123" s="1" t="n">
        <f aca="false">IF(Pertenencia!I123=1,Plan!$I123,0)</f>
        <v>0</v>
      </c>
      <c r="J123" s="1" t="n">
        <f aca="false">IF(Pertenencia!J123=1,Plan!$I123,0)</f>
        <v>0</v>
      </c>
      <c r="K123" s="1" t="n">
        <f aca="false">IF(Pertenencia!K123=1,Plan!$I123,0)</f>
        <v>0</v>
      </c>
      <c r="L123" s="1" t="n">
        <f aca="false">IF(Pertenencia!L123=1,Plan!$I123,0)</f>
        <v>0</v>
      </c>
      <c r="M123" s="1" t="n">
        <f aca="false">IF(Pertenencia!M123=1,Plan!$I123,0)</f>
        <v>1</v>
      </c>
    </row>
    <row r="124" customFormat="false" ht="15" hidden="false" customHeight="true" outlineLevel="0" collapsed="false">
      <c r="A124" s="1" t="s">
        <v>507</v>
      </c>
      <c r="B124" s="1" t="n">
        <f aca="false">IF(Pertenencia!B124=1,Plan!$I124,0)</f>
        <v>0</v>
      </c>
      <c r="C124" s="1" t="n">
        <f aca="false">IF(Pertenencia!C124=1,Plan!$I124,0)</f>
        <v>0</v>
      </c>
      <c r="D124" s="1" t="n">
        <f aca="false">IF(Pertenencia!D124=1,Plan!$I124,0)</f>
        <v>0</v>
      </c>
      <c r="E124" s="1" t="n">
        <f aca="false">IF(Pertenencia!E124=1,Plan!$I124,0)</f>
        <v>0</v>
      </c>
      <c r="F124" s="1" t="n">
        <f aca="false">IF(Pertenencia!F124=1,Plan!$I124,0)</f>
        <v>0</v>
      </c>
      <c r="G124" s="1" t="n">
        <f aca="false">IF(Pertenencia!G124=1,Plan!$I124,0)</f>
        <v>0</v>
      </c>
      <c r="H124" s="1" t="n">
        <f aca="false">IF(Pertenencia!H124=1,Plan!$I124,0)</f>
        <v>0</v>
      </c>
      <c r="I124" s="1" t="n">
        <f aca="false">IF(Pertenencia!I124=1,Plan!$I124,0)</f>
        <v>0</v>
      </c>
      <c r="J124" s="1" t="n">
        <f aca="false">IF(Pertenencia!J124=1,Plan!$I124,0)</f>
        <v>0</v>
      </c>
      <c r="K124" s="1" t="n">
        <f aca="false">IF(Pertenencia!K124=1,Plan!$I124,0)</f>
        <v>0</v>
      </c>
      <c r="L124" s="1" t="n">
        <f aca="false">IF(Pertenencia!L124=1,Plan!$I124,0)</f>
        <v>0</v>
      </c>
      <c r="M124" s="1" t="n">
        <f aca="false">IF(Pertenencia!M124=1,Plan!$I124,0)</f>
        <v>1</v>
      </c>
    </row>
    <row r="125" customFormat="false" ht="15" hidden="false" customHeight="true" outlineLevel="0" collapsed="false">
      <c r="A125" s="1" t="s">
        <v>510</v>
      </c>
      <c r="B125" s="1" t="n">
        <f aca="false">IF(Pertenencia!B125=1,Plan!$I125,0)</f>
        <v>0</v>
      </c>
      <c r="C125" s="1" t="n">
        <f aca="false">IF(Pertenencia!C125=1,Plan!$I125,0)</f>
        <v>0</v>
      </c>
      <c r="D125" s="1" t="n">
        <f aca="false">IF(Pertenencia!D125=1,Plan!$I125,0)</f>
        <v>0</v>
      </c>
      <c r="E125" s="1" t="n">
        <f aca="false">IF(Pertenencia!E125=1,Plan!$I125,0)</f>
        <v>0</v>
      </c>
      <c r="F125" s="1" t="n">
        <f aca="false">IF(Pertenencia!F125=1,Plan!$I125,0)</f>
        <v>0</v>
      </c>
      <c r="G125" s="1" t="n">
        <f aca="false">IF(Pertenencia!G125=1,Plan!$I125,0)</f>
        <v>2</v>
      </c>
      <c r="H125" s="1" t="n">
        <f aca="false">IF(Pertenencia!H125=1,Plan!$I125,0)</f>
        <v>0</v>
      </c>
      <c r="I125" s="1" t="n">
        <f aca="false">IF(Pertenencia!I125=1,Plan!$I125,0)</f>
        <v>0</v>
      </c>
      <c r="J125" s="1" t="n">
        <f aca="false">IF(Pertenencia!J125=1,Plan!$I125,0)</f>
        <v>0</v>
      </c>
      <c r="K125" s="1" t="n">
        <f aca="false">IF(Pertenencia!K125=1,Plan!$I125,0)</f>
        <v>0</v>
      </c>
      <c r="L125" s="1" t="n">
        <f aca="false">IF(Pertenencia!L125=1,Plan!$I125,0)</f>
        <v>0</v>
      </c>
      <c r="M125" s="1" t="n">
        <f aca="false">IF(Pertenencia!M125=1,Plan!$I125,0)</f>
        <v>2</v>
      </c>
    </row>
    <row r="126" customFormat="false" ht="15" hidden="false" customHeight="true" outlineLevel="0" collapsed="false">
      <c r="A126" s="1" t="s">
        <v>513</v>
      </c>
      <c r="B126" s="1" t="n">
        <f aca="false">IF(Pertenencia!B126=1,Plan!$I126,0)</f>
        <v>0</v>
      </c>
      <c r="C126" s="1" t="n">
        <f aca="false">IF(Pertenencia!C126=1,Plan!$I126,0)</f>
        <v>0</v>
      </c>
      <c r="D126" s="1" t="n">
        <f aca="false">IF(Pertenencia!D126=1,Plan!$I126,0)</f>
        <v>0</v>
      </c>
      <c r="E126" s="1" t="n">
        <f aca="false">IF(Pertenencia!E126=1,Plan!$I126,0)</f>
        <v>0</v>
      </c>
      <c r="F126" s="1" t="n">
        <f aca="false">IF(Pertenencia!F126=1,Plan!$I126,0)</f>
        <v>0</v>
      </c>
      <c r="G126" s="1" t="n">
        <f aca="false">IF(Pertenencia!G126=1,Plan!$I126,0)</f>
        <v>2</v>
      </c>
      <c r="H126" s="1" t="n">
        <f aca="false">IF(Pertenencia!H126=1,Plan!$I126,0)</f>
        <v>0</v>
      </c>
      <c r="I126" s="1" t="n">
        <f aca="false">IF(Pertenencia!I126=1,Plan!$I126,0)</f>
        <v>0</v>
      </c>
      <c r="J126" s="1" t="n">
        <f aca="false">IF(Pertenencia!J126=1,Plan!$I126,0)</f>
        <v>0</v>
      </c>
      <c r="K126" s="1" t="n">
        <f aca="false">IF(Pertenencia!K126=1,Plan!$I126,0)</f>
        <v>0</v>
      </c>
      <c r="L126" s="1" t="n">
        <f aca="false">IF(Pertenencia!L126=1,Plan!$I126,0)</f>
        <v>0</v>
      </c>
      <c r="M126" s="1" t="n">
        <f aca="false">IF(Pertenencia!M126=1,Plan!$I126,0)</f>
        <v>2</v>
      </c>
    </row>
    <row r="127" customFormat="false" ht="15" hidden="false" customHeight="true" outlineLevel="0" collapsed="false">
      <c r="A127" s="1" t="s">
        <v>516</v>
      </c>
      <c r="B127" s="1" t="n">
        <f aca="false">IF(Pertenencia!B127=1,Plan!$I127,0)</f>
        <v>0</v>
      </c>
      <c r="C127" s="1" t="n">
        <f aca="false">IF(Pertenencia!C127=1,Plan!$I127,0)</f>
        <v>0</v>
      </c>
      <c r="D127" s="1" t="n">
        <f aca="false">IF(Pertenencia!D127=1,Plan!$I127,0)</f>
        <v>0</v>
      </c>
      <c r="E127" s="1" t="n">
        <f aca="false">IF(Pertenencia!E127=1,Plan!$I127,0)</f>
        <v>0</v>
      </c>
      <c r="F127" s="1" t="n">
        <f aca="false">IF(Pertenencia!F127=1,Plan!$I127,0)</f>
        <v>0</v>
      </c>
      <c r="G127" s="1" t="n">
        <f aca="false">IF(Pertenencia!G127=1,Plan!$I127,0)</f>
        <v>2</v>
      </c>
      <c r="H127" s="1" t="n">
        <f aca="false">IF(Pertenencia!H127=1,Plan!$I127,0)</f>
        <v>0</v>
      </c>
      <c r="I127" s="1" t="n">
        <f aca="false">IF(Pertenencia!I127=1,Plan!$I127,0)</f>
        <v>0</v>
      </c>
      <c r="J127" s="1" t="n">
        <f aca="false">IF(Pertenencia!J127=1,Plan!$I127,0)</f>
        <v>0</v>
      </c>
      <c r="K127" s="1" t="n">
        <f aca="false">IF(Pertenencia!K127=1,Plan!$I127,0)</f>
        <v>0</v>
      </c>
      <c r="L127" s="1" t="n">
        <f aca="false">IF(Pertenencia!L127=1,Plan!$I127,0)</f>
        <v>0</v>
      </c>
      <c r="M127" s="1" t="n">
        <f aca="false">IF(Pertenencia!M127=1,Plan!$I127,0)</f>
        <v>2</v>
      </c>
    </row>
    <row r="128" customFormat="false" ht="15" hidden="false" customHeight="true" outlineLevel="0" collapsed="false">
      <c r="A128" s="1" t="s">
        <v>520</v>
      </c>
      <c r="B128" s="1" t="n">
        <f aca="false">IF(Pertenencia!B128=1,Plan!$I128,0)</f>
        <v>0</v>
      </c>
      <c r="C128" s="1" t="n">
        <f aca="false">IF(Pertenencia!C128=1,Plan!$I128,0)</f>
        <v>0</v>
      </c>
      <c r="D128" s="1" t="n">
        <f aca="false">IF(Pertenencia!D128=1,Plan!$I128,0)</f>
        <v>0</v>
      </c>
      <c r="E128" s="1" t="n">
        <f aca="false">IF(Pertenencia!E128=1,Plan!$I128,0)</f>
        <v>0</v>
      </c>
      <c r="F128" s="1" t="n">
        <f aca="false">IF(Pertenencia!F128=1,Plan!$I128,0)</f>
        <v>0</v>
      </c>
      <c r="G128" s="1" t="n">
        <f aca="false">IF(Pertenencia!G128=1,Plan!$I128,0)</f>
        <v>1</v>
      </c>
      <c r="H128" s="1" t="n">
        <f aca="false">IF(Pertenencia!H128=1,Plan!$I128,0)</f>
        <v>0</v>
      </c>
      <c r="I128" s="1" t="n">
        <f aca="false">IF(Pertenencia!I128=1,Plan!$I128,0)</f>
        <v>0</v>
      </c>
      <c r="J128" s="1" t="n">
        <f aca="false">IF(Pertenencia!J128=1,Plan!$I128,0)</f>
        <v>0</v>
      </c>
      <c r="K128" s="1" t="n">
        <f aca="false">IF(Pertenencia!K128=1,Plan!$I128,0)</f>
        <v>0</v>
      </c>
      <c r="L128" s="1" t="n">
        <f aca="false">IF(Pertenencia!L128=1,Plan!$I128,0)</f>
        <v>0</v>
      </c>
      <c r="M128" s="1" t="n">
        <f aca="false">IF(Pertenencia!M128=1,Plan!$I128,0)</f>
        <v>1</v>
      </c>
    </row>
    <row r="129" customFormat="false" ht="15" hidden="false" customHeight="true" outlineLevel="0" collapsed="false">
      <c r="A129" s="1" t="s">
        <v>523</v>
      </c>
      <c r="B129" s="1" t="n">
        <f aca="false">IF(Pertenencia!B129=1,Plan!$I129,0)</f>
        <v>0</v>
      </c>
      <c r="C129" s="1" t="n">
        <f aca="false">IF(Pertenencia!C129=1,Plan!$I129,0)</f>
        <v>0</v>
      </c>
      <c r="D129" s="1" t="n">
        <f aca="false">IF(Pertenencia!D129=1,Plan!$I129,0)</f>
        <v>0</v>
      </c>
      <c r="E129" s="1" t="n">
        <f aca="false">IF(Pertenencia!E129=1,Plan!$I129,0)</f>
        <v>0</v>
      </c>
      <c r="F129" s="1" t="n">
        <f aca="false">IF(Pertenencia!F129=1,Plan!$I129,0)</f>
        <v>0</v>
      </c>
      <c r="G129" s="1" t="n">
        <f aca="false">IF(Pertenencia!G129=1,Plan!$I129,0)</f>
        <v>2</v>
      </c>
      <c r="H129" s="1" t="n">
        <f aca="false">IF(Pertenencia!H129=1,Plan!$I129,0)</f>
        <v>0</v>
      </c>
      <c r="I129" s="1" t="n">
        <f aca="false">IF(Pertenencia!I129=1,Plan!$I129,0)</f>
        <v>0</v>
      </c>
      <c r="J129" s="1" t="n">
        <f aca="false">IF(Pertenencia!J129=1,Plan!$I129,0)</f>
        <v>0</v>
      </c>
      <c r="K129" s="1" t="n">
        <f aca="false">IF(Pertenencia!K129=1,Plan!$I129,0)</f>
        <v>0</v>
      </c>
      <c r="L129" s="1" t="n">
        <f aca="false">IF(Pertenencia!L129=1,Plan!$I129,0)</f>
        <v>0</v>
      </c>
      <c r="M129" s="1" t="n">
        <f aca="false">IF(Pertenencia!M129=1,Plan!$I129,0)</f>
        <v>2</v>
      </c>
    </row>
    <row r="130" customFormat="false" ht="15" hidden="false" customHeight="true" outlineLevel="0" collapsed="false">
      <c r="A130" s="1" t="s">
        <v>526</v>
      </c>
      <c r="B130" s="1" t="n">
        <f aca="false">IF(Pertenencia!B130=1,Plan!$I130,0)</f>
        <v>0</v>
      </c>
      <c r="C130" s="1" t="n">
        <f aca="false">IF(Pertenencia!C130=1,Plan!$I130,0)</f>
        <v>0</v>
      </c>
      <c r="D130" s="1" t="n">
        <f aca="false">IF(Pertenencia!D130=1,Plan!$I130,0)</f>
        <v>0</v>
      </c>
      <c r="E130" s="1" t="n">
        <f aca="false">IF(Pertenencia!E130=1,Plan!$I130,0)</f>
        <v>0</v>
      </c>
      <c r="F130" s="1" t="n">
        <f aca="false">IF(Pertenencia!F130=1,Plan!$I130,0)</f>
        <v>0</v>
      </c>
      <c r="G130" s="1" t="n">
        <f aca="false">IF(Pertenencia!G130=1,Plan!$I130,0)</f>
        <v>2</v>
      </c>
      <c r="H130" s="1" t="n">
        <f aca="false">IF(Pertenencia!H130=1,Plan!$I130,0)</f>
        <v>0</v>
      </c>
      <c r="I130" s="1" t="n">
        <f aca="false">IF(Pertenencia!I130=1,Plan!$I130,0)</f>
        <v>0</v>
      </c>
      <c r="J130" s="1" t="n">
        <f aca="false">IF(Pertenencia!J130=1,Plan!$I130,0)</f>
        <v>0</v>
      </c>
      <c r="K130" s="1" t="n">
        <f aca="false">IF(Pertenencia!K130=1,Plan!$I130,0)</f>
        <v>0</v>
      </c>
      <c r="L130" s="1" t="n">
        <f aca="false">IF(Pertenencia!L130=1,Plan!$I130,0)</f>
        <v>0</v>
      </c>
      <c r="M130" s="1" t="n">
        <f aca="false">IF(Pertenencia!M130=1,Plan!$I130,0)</f>
        <v>2</v>
      </c>
    </row>
    <row r="131" customFormat="false" ht="15" hidden="false" customHeight="true" outlineLevel="0" collapsed="false">
      <c r="A131" s="1" t="s">
        <v>530</v>
      </c>
      <c r="B131" s="1" t="n">
        <f aca="false">IF(Pertenencia!B131=1,Plan!$I131,0)</f>
        <v>0</v>
      </c>
      <c r="C131" s="1" t="n">
        <f aca="false">IF(Pertenencia!C131=1,Plan!$I131,0)</f>
        <v>0</v>
      </c>
      <c r="D131" s="1" t="n">
        <f aca="false">IF(Pertenencia!D131=1,Plan!$I131,0)</f>
        <v>0</v>
      </c>
      <c r="E131" s="1" t="n">
        <f aca="false">IF(Pertenencia!E131=1,Plan!$I131,0)</f>
        <v>0</v>
      </c>
      <c r="F131" s="1" t="n">
        <f aca="false">IF(Pertenencia!F131=1,Plan!$I131,0)</f>
        <v>0</v>
      </c>
      <c r="G131" s="1" t="n">
        <f aca="false">IF(Pertenencia!G131=1,Plan!$I131,0)</f>
        <v>1</v>
      </c>
      <c r="H131" s="1" t="n">
        <f aca="false">IF(Pertenencia!H131=1,Plan!$I131,0)</f>
        <v>0</v>
      </c>
      <c r="I131" s="1" t="n">
        <f aca="false">IF(Pertenencia!I131=1,Plan!$I131,0)</f>
        <v>0</v>
      </c>
      <c r="J131" s="1" t="n">
        <f aca="false">IF(Pertenencia!J131=1,Plan!$I131,0)</f>
        <v>0</v>
      </c>
      <c r="K131" s="1" t="n">
        <f aca="false">IF(Pertenencia!K131=1,Plan!$I131,0)</f>
        <v>0</v>
      </c>
      <c r="L131" s="1" t="n">
        <f aca="false">IF(Pertenencia!L131=1,Plan!$I131,0)</f>
        <v>0</v>
      </c>
      <c r="M131" s="1" t="n">
        <f aca="false">IF(Pertenencia!M131=1,Plan!$I131,0)</f>
        <v>1</v>
      </c>
    </row>
    <row r="132" customFormat="false" ht="15" hidden="false" customHeight="true" outlineLevel="0" collapsed="false">
      <c r="A132" s="1" t="s">
        <v>533</v>
      </c>
      <c r="B132" s="1" t="n">
        <f aca="false">IF(Pertenencia!B132=1,Plan!$I132,0)</f>
        <v>0</v>
      </c>
      <c r="C132" s="1" t="n">
        <f aca="false">IF(Pertenencia!C132=1,Plan!$I132,0)</f>
        <v>0</v>
      </c>
      <c r="D132" s="1" t="n">
        <f aca="false">IF(Pertenencia!D132=1,Plan!$I132,0)</f>
        <v>0</v>
      </c>
      <c r="E132" s="1" t="n">
        <f aca="false">IF(Pertenencia!E132=1,Plan!$I132,0)</f>
        <v>0</v>
      </c>
      <c r="F132" s="1" t="n">
        <f aca="false">IF(Pertenencia!F132=1,Plan!$I132,0)</f>
        <v>0</v>
      </c>
      <c r="G132" s="1" t="n">
        <f aca="false">IF(Pertenencia!G132=1,Plan!$I132,0)</f>
        <v>0</v>
      </c>
      <c r="H132" s="1" t="n">
        <f aca="false">IF(Pertenencia!H132=1,Plan!$I132,0)</f>
        <v>0</v>
      </c>
      <c r="I132" s="1" t="n">
        <f aca="false">IF(Pertenencia!I132=1,Plan!$I132,0)</f>
        <v>0</v>
      </c>
      <c r="J132" s="1" t="n">
        <f aca="false">IF(Pertenencia!J132=1,Plan!$I132,0)</f>
        <v>0</v>
      </c>
      <c r="K132" s="1" t="n">
        <f aca="false">IF(Pertenencia!K132=1,Plan!$I132,0)</f>
        <v>0</v>
      </c>
      <c r="L132" s="1" t="n">
        <f aca="false">IF(Pertenencia!L132=1,Plan!$I132,0)</f>
        <v>2</v>
      </c>
      <c r="M132" s="1" t="n">
        <f aca="false">IF(Pertenencia!M132=1,Plan!$I132,0)</f>
        <v>0</v>
      </c>
    </row>
    <row r="133" customFormat="false" ht="15" hidden="false" customHeight="true" outlineLevel="0" collapsed="false">
      <c r="A133" s="1" t="s">
        <v>536</v>
      </c>
      <c r="B133" s="1" t="n">
        <f aca="false">IF(Pertenencia!B133=1,Plan!$I133,0)</f>
        <v>0</v>
      </c>
      <c r="C133" s="1" t="n">
        <f aca="false">IF(Pertenencia!C133=1,Plan!$I133,0)</f>
        <v>0</v>
      </c>
      <c r="D133" s="1" t="n">
        <f aca="false">IF(Pertenencia!D133=1,Plan!$I133,0)</f>
        <v>0</v>
      </c>
      <c r="E133" s="1" t="n">
        <f aca="false">IF(Pertenencia!E133=1,Plan!$I133,0)</f>
        <v>0</v>
      </c>
      <c r="F133" s="1" t="n">
        <f aca="false">IF(Pertenencia!F133=1,Plan!$I133,0)</f>
        <v>0</v>
      </c>
      <c r="G133" s="1" t="n">
        <f aca="false">IF(Pertenencia!G133=1,Plan!$I133,0)</f>
        <v>0</v>
      </c>
      <c r="H133" s="1" t="n">
        <f aca="false">IF(Pertenencia!H133=1,Plan!$I133,0)</f>
        <v>0</v>
      </c>
      <c r="I133" s="1" t="n">
        <f aca="false">IF(Pertenencia!I133=1,Plan!$I133,0)</f>
        <v>0</v>
      </c>
      <c r="J133" s="1" t="n">
        <f aca="false">IF(Pertenencia!J133=1,Plan!$I133,0)</f>
        <v>0</v>
      </c>
      <c r="K133" s="1" t="n">
        <f aca="false">IF(Pertenencia!K133=1,Plan!$I133,0)</f>
        <v>0</v>
      </c>
      <c r="L133" s="1" t="n">
        <f aca="false">IF(Pertenencia!L133=1,Plan!$I133,0)</f>
        <v>2</v>
      </c>
      <c r="M133" s="1" t="n">
        <f aca="false">IF(Pertenencia!M133=1,Plan!$I133,0)</f>
        <v>0</v>
      </c>
    </row>
    <row r="134" customFormat="false" ht="15" hidden="false" customHeight="true" outlineLevel="0" collapsed="false">
      <c r="A134" s="1" t="s">
        <v>539</v>
      </c>
      <c r="B134" s="1" t="n">
        <f aca="false">IF(Pertenencia!B134=1,Plan!$I134,0)</f>
        <v>0</v>
      </c>
      <c r="C134" s="1" t="n">
        <f aca="false">IF(Pertenencia!C134=1,Plan!$I134,0)</f>
        <v>0</v>
      </c>
      <c r="D134" s="1" t="n">
        <f aca="false">IF(Pertenencia!D134=1,Plan!$I134,0)</f>
        <v>0</v>
      </c>
      <c r="E134" s="1" t="n">
        <f aca="false">IF(Pertenencia!E134=1,Plan!$I134,0)</f>
        <v>0</v>
      </c>
      <c r="F134" s="1" t="n">
        <f aca="false">IF(Pertenencia!F134=1,Plan!$I134,0)</f>
        <v>0</v>
      </c>
      <c r="G134" s="1" t="n">
        <f aca="false">IF(Pertenencia!G134=1,Plan!$I134,0)</f>
        <v>0</v>
      </c>
      <c r="H134" s="1" t="n">
        <f aca="false">IF(Pertenencia!H134=1,Plan!$I134,0)</f>
        <v>0</v>
      </c>
      <c r="I134" s="1" t="n">
        <f aca="false">IF(Pertenencia!I134=1,Plan!$I134,0)</f>
        <v>0</v>
      </c>
      <c r="J134" s="1" t="n">
        <f aca="false">IF(Pertenencia!J134=1,Plan!$I134,0)</f>
        <v>0</v>
      </c>
      <c r="K134" s="1" t="n">
        <f aca="false">IF(Pertenencia!K134=1,Plan!$I134,0)</f>
        <v>0</v>
      </c>
      <c r="L134" s="1" t="n">
        <f aca="false">IF(Pertenencia!L134=1,Plan!$I134,0)</f>
        <v>2</v>
      </c>
      <c r="M134" s="1" t="n">
        <f aca="false">IF(Pertenencia!M134=1,Plan!$I134,0)</f>
        <v>0</v>
      </c>
    </row>
    <row r="135" customFormat="false" ht="15" hidden="false" customHeight="true" outlineLevel="0" collapsed="false">
      <c r="A135" s="1" t="s">
        <v>543</v>
      </c>
      <c r="B135" s="1" t="n">
        <f aca="false">IF(Pertenencia!B135=1,Plan!$I135,0)</f>
        <v>0</v>
      </c>
      <c r="C135" s="1" t="n">
        <f aca="false">IF(Pertenencia!C135=1,Plan!$I135,0)</f>
        <v>0</v>
      </c>
      <c r="D135" s="1" t="n">
        <f aca="false">IF(Pertenencia!D135=1,Plan!$I135,0)</f>
        <v>0</v>
      </c>
      <c r="E135" s="1" t="n">
        <f aca="false">IF(Pertenencia!E135=1,Plan!$I135,0)</f>
        <v>0</v>
      </c>
      <c r="F135" s="1" t="n">
        <f aca="false">IF(Pertenencia!F135=1,Plan!$I135,0)</f>
        <v>0</v>
      </c>
      <c r="G135" s="1" t="n">
        <f aca="false">IF(Pertenencia!G135=1,Plan!$I135,0)</f>
        <v>0</v>
      </c>
      <c r="H135" s="1" t="n">
        <f aca="false">IF(Pertenencia!H135=1,Plan!$I135,0)</f>
        <v>0</v>
      </c>
      <c r="I135" s="1" t="n">
        <f aca="false">IF(Pertenencia!I135=1,Plan!$I135,0)</f>
        <v>0</v>
      </c>
      <c r="J135" s="1" t="n">
        <f aca="false">IF(Pertenencia!J135=1,Plan!$I135,0)</f>
        <v>0</v>
      </c>
      <c r="K135" s="1" t="n">
        <f aca="false">IF(Pertenencia!K135=1,Plan!$I135,0)</f>
        <v>0</v>
      </c>
      <c r="L135" s="1" t="n">
        <f aca="false">IF(Pertenencia!L135=1,Plan!$I135,0)</f>
        <v>2</v>
      </c>
      <c r="M135" s="1" t="n">
        <f aca="false">IF(Pertenencia!M135=1,Plan!$I135,0)</f>
        <v>0</v>
      </c>
    </row>
    <row r="136" customFormat="false" ht="15" hidden="false" customHeight="true" outlineLevel="0" collapsed="false">
      <c r="A136" s="1" t="s">
        <v>547</v>
      </c>
      <c r="B136" s="1" t="n">
        <f aca="false">IF(Pertenencia!B136=1,Plan!$I136,0)</f>
        <v>0</v>
      </c>
      <c r="C136" s="1" t="n">
        <f aca="false">IF(Pertenencia!C136=1,Plan!$I136,0)</f>
        <v>0</v>
      </c>
      <c r="D136" s="1" t="n">
        <f aca="false">IF(Pertenencia!D136=1,Plan!$I136,0)</f>
        <v>0</v>
      </c>
      <c r="E136" s="1" t="n">
        <f aca="false">IF(Pertenencia!E136=1,Plan!$I136,0)</f>
        <v>0</v>
      </c>
      <c r="F136" s="1" t="n">
        <f aca="false">IF(Pertenencia!F136=1,Plan!$I136,0)</f>
        <v>0</v>
      </c>
      <c r="G136" s="1" t="n">
        <f aca="false">IF(Pertenencia!G136=1,Plan!$I136,0)</f>
        <v>0</v>
      </c>
      <c r="H136" s="1" t="n">
        <f aca="false">IF(Pertenencia!H136=1,Plan!$I136,0)</f>
        <v>0</v>
      </c>
      <c r="I136" s="1" t="n">
        <f aca="false">IF(Pertenencia!I136=1,Plan!$I136,0)</f>
        <v>0</v>
      </c>
      <c r="J136" s="1" t="n">
        <f aca="false">IF(Pertenencia!J136=1,Plan!$I136,0)</f>
        <v>0</v>
      </c>
      <c r="K136" s="1" t="n">
        <f aca="false">IF(Pertenencia!K136=1,Plan!$I136,0)</f>
        <v>0</v>
      </c>
      <c r="L136" s="1" t="n">
        <f aca="false">IF(Pertenencia!L136=1,Plan!$I136,0)</f>
        <v>1</v>
      </c>
      <c r="M136" s="1" t="n">
        <f aca="false">IF(Pertenencia!M136=1,Plan!$I136,0)</f>
        <v>0</v>
      </c>
    </row>
    <row r="137" customFormat="false" ht="15" hidden="false" customHeight="true" outlineLevel="0" collapsed="false">
      <c r="A137" s="1" t="s">
        <v>550</v>
      </c>
      <c r="B137" s="1" t="n">
        <f aca="false">IF(Pertenencia!B137=1,Plan!$I137,0)</f>
        <v>0</v>
      </c>
      <c r="C137" s="1" t="n">
        <f aca="false">IF(Pertenencia!C137=1,Plan!$I137,0)</f>
        <v>0</v>
      </c>
      <c r="D137" s="1" t="n">
        <f aca="false">IF(Pertenencia!D137=1,Plan!$I137,0)</f>
        <v>0</v>
      </c>
      <c r="E137" s="1" t="n">
        <f aca="false">IF(Pertenencia!E137=1,Plan!$I137,0)</f>
        <v>0</v>
      </c>
      <c r="F137" s="1" t="n">
        <f aca="false">IF(Pertenencia!F137=1,Plan!$I137,0)</f>
        <v>0</v>
      </c>
      <c r="G137" s="1" t="n">
        <f aca="false">IF(Pertenencia!G137=1,Plan!$I137,0)</f>
        <v>0</v>
      </c>
      <c r="H137" s="1" t="n">
        <f aca="false">IF(Pertenencia!H137=1,Plan!$I137,0)</f>
        <v>0</v>
      </c>
      <c r="I137" s="1" t="n">
        <f aca="false">IF(Pertenencia!I137=1,Plan!$I137,0)</f>
        <v>0</v>
      </c>
      <c r="J137" s="1" t="n">
        <f aca="false">IF(Pertenencia!J137=1,Plan!$I137,0)</f>
        <v>0</v>
      </c>
      <c r="K137" s="1" t="n">
        <f aca="false">IF(Pertenencia!K137=1,Plan!$I137,0)</f>
        <v>0</v>
      </c>
      <c r="L137" s="1" t="n">
        <f aca="false">IF(Pertenencia!L137=1,Plan!$I137,0)</f>
        <v>1</v>
      </c>
      <c r="M137" s="1" t="n">
        <f aca="false">IF(Pertenencia!M137=1,Plan!$I137,0)</f>
        <v>0</v>
      </c>
    </row>
    <row r="138" customFormat="false" ht="15" hidden="false" customHeight="true" outlineLevel="0" collapsed="false">
      <c r="A138" s="1" t="s">
        <v>553</v>
      </c>
      <c r="B138" s="1" t="n">
        <f aca="false">IF(Pertenencia!B138=1,Plan!$I138,0)</f>
        <v>0</v>
      </c>
      <c r="C138" s="1" t="n">
        <f aca="false">IF(Pertenencia!C138=1,Plan!$I138,0)</f>
        <v>0</v>
      </c>
      <c r="D138" s="1" t="n">
        <f aca="false">IF(Pertenencia!D138=1,Plan!$I138,0)</f>
        <v>0</v>
      </c>
      <c r="E138" s="1" t="n">
        <f aca="false">IF(Pertenencia!E138=1,Plan!$I138,0)</f>
        <v>0</v>
      </c>
      <c r="F138" s="1" t="n">
        <f aca="false">IF(Pertenencia!F138=1,Plan!$I138,0)</f>
        <v>0</v>
      </c>
      <c r="G138" s="1" t="n">
        <f aca="false">IF(Pertenencia!G138=1,Plan!$I138,0)</f>
        <v>0</v>
      </c>
      <c r="H138" s="1" t="n">
        <f aca="false">IF(Pertenencia!H138=1,Plan!$I138,0)</f>
        <v>0</v>
      </c>
      <c r="I138" s="1" t="n">
        <f aca="false">IF(Pertenencia!I138=1,Plan!$I138,0)</f>
        <v>0</v>
      </c>
      <c r="J138" s="1" t="n">
        <f aca="false">IF(Pertenencia!J138=1,Plan!$I138,0)</f>
        <v>0</v>
      </c>
      <c r="K138" s="1" t="n">
        <f aca="false">IF(Pertenencia!K138=1,Plan!$I138,0)</f>
        <v>0</v>
      </c>
      <c r="L138" s="1" t="n">
        <f aca="false">IF(Pertenencia!L138=1,Plan!$I138,0)</f>
        <v>1</v>
      </c>
      <c r="M138" s="1" t="n">
        <f aca="false">IF(Pertenencia!M138=1,Plan!$I138,0)</f>
        <v>0</v>
      </c>
    </row>
    <row r="139" customFormat="false" ht="15" hidden="false" customHeight="true" outlineLevel="0" collapsed="false">
      <c r="A139" s="1" t="s">
        <v>556</v>
      </c>
      <c r="B139" s="1" t="n">
        <f aca="false">IF(Pertenencia!B139=1,Plan!$I139,0)</f>
        <v>0</v>
      </c>
      <c r="C139" s="1" t="n">
        <f aca="false">IF(Pertenencia!C139=1,Plan!$I139,0)</f>
        <v>0</v>
      </c>
      <c r="D139" s="1" t="n">
        <f aca="false">IF(Pertenencia!D139=1,Plan!$I139,0)</f>
        <v>0</v>
      </c>
      <c r="E139" s="1" t="n">
        <f aca="false">IF(Pertenencia!E139=1,Plan!$I139,0)</f>
        <v>0</v>
      </c>
      <c r="F139" s="1" t="n">
        <f aca="false">IF(Pertenencia!F139=1,Plan!$I139,0)</f>
        <v>0</v>
      </c>
      <c r="G139" s="1" t="n">
        <f aca="false">IF(Pertenencia!G139=1,Plan!$I139,0)</f>
        <v>0</v>
      </c>
      <c r="H139" s="1" t="n">
        <f aca="false">IF(Pertenencia!H139=1,Plan!$I139,0)</f>
        <v>0</v>
      </c>
      <c r="I139" s="1" t="n">
        <f aca="false">IF(Pertenencia!I139=1,Plan!$I139,0)</f>
        <v>0</v>
      </c>
      <c r="J139" s="1" t="n">
        <f aca="false">IF(Pertenencia!J139=1,Plan!$I139,0)</f>
        <v>0</v>
      </c>
      <c r="K139" s="1" t="n">
        <f aca="false">IF(Pertenencia!K139=1,Plan!$I139,0)</f>
        <v>0</v>
      </c>
      <c r="L139" s="1" t="n">
        <f aca="false">IF(Pertenencia!L139=1,Plan!$I139,0)</f>
        <v>1</v>
      </c>
      <c r="M139" s="1" t="n">
        <f aca="false">IF(Pertenencia!M139=1,Plan!$I139,0)</f>
        <v>0</v>
      </c>
    </row>
    <row r="140" customFormat="false" ht="15" hidden="false" customHeight="true" outlineLevel="0" collapsed="false">
      <c r="A140" s="1" t="s">
        <v>558</v>
      </c>
      <c r="B140" s="1" t="n">
        <f aca="false">IF(Pertenencia!B140=1,Plan!$I140,0)</f>
        <v>0</v>
      </c>
      <c r="C140" s="1" t="n">
        <f aca="false">IF(Pertenencia!C140=1,Plan!$I140,0)</f>
        <v>0</v>
      </c>
      <c r="D140" s="1" t="n">
        <f aca="false">IF(Pertenencia!D140=1,Plan!$I140,0)</f>
        <v>0</v>
      </c>
      <c r="E140" s="1" t="n">
        <f aca="false">IF(Pertenencia!E140=1,Plan!$I140,0)</f>
        <v>0</v>
      </c>
      <c r="F140" s="1" t="n">
        <f aca="false">IF(Pertenencia!F140=1,Plan!$I140,0)</f>
        <v>0</v>
      </c>
      <c r="G140" s="1" t="n">
        <f aca="false">IF(Pertenencia!G140=1,Plan!$I140,0)</f>
        <v>0</v>
      </c>
      <c r="H140" s="1" t="n">
        <f aca="false">IF(Pertenencia!H140=1,Plan!$I140,0)</f>
        <v>0</v>
      </c>
      <c r="I140" s="1" t="n">
        <f aca="false">IF(Pertenencia!I140=1,Plan!$I140,0)</f>
        <v>0</v>
      </c>
      <c r="J140" s="1" t="n">
        <f aca="false">IF(Pertenencia!J140=1,Plan!$I140,0)</f>
        <v>0</v>
      </c>
      <c r="K140" s="1" t="n">
        <f aca="false">IF(Pertenencia!K140=1,Plan!$I140,0)</f>
        <v>0</v>
      </c>
      <c r="L140" s="1" t="n">
        <f aca="false">IF(Pertenencia!L140=1,Plan!$I140,0)</f>
        <v>1</v>
      </c>
      <c r="M140" s="1" t="n">
        <f aca="false">IF(Pertenencia!M140=1,Plan!$I140,0)</f>
        <v>0</v>
      </c>
    </row>
    <row r="141" customFormat="false" ht="15" hidden="false" customHeight="true" outlineLevel="0" collapsed="false">
      <c r="A141" s="1" t="s">
        <v>560</v>
      </c>
      <c r="B141" s="1" t="n">
        <f aca="false">IF(Pertenencia!B141=1,Plan!$I141,0)</f>
        <v>0</v>
      </c>
      <c r="C141" s="1" t="n">
        <f aca="false">IF(Pertenencia!C141=1,Plan!$I141,0)</f>
        <v>0</v>
      </c>
      <c r="D141" s="1" t="n">
        <f aca="false">IF(Pertenencia!D141=1,Plan!$I141,0)</f>
        <v>0</v>
      </c>
      <c r="E141" s="1" t="n">
        <f aca="false">IF(Pertenencia!E141=1,Plan!$I141,0)</f>
        <v>0</v>
      </c>
      <c r="F141" s="1" t="n">
        <f aca="false">IF(Pertenencia!F141=1,Plan!$I141,0)</f>
        <v>0</v>
      </c>
      <c r="G141" s="1" t="n">
        <f aca="false">IF(Pertenencia!G141=1,Plan!$I141,0)</f>
        <v>0</v>
      </c>
      <c r="H141" s="1" t="n">
        <f aca="false">IF(Pertenencia!H141=1,Plan!$I141,0)</f>
        <v>0</v>
      </c>
      <c r="I141" s="1" t="n">
        <f aca="false">IF(Pertenencia!I141=1,Plan!$I141,0)</f>
        <v>2</v>
      </c>
      <c r="J141" s="1" t="n">
        <f aca="false">IF(Pertenencia!J141=1,Plan!$I141,0)</f>
        <v>0</v>
      </c>
      <c r="K141" s="1" t="n">
        <f aca="false">IF(Pertenencia!K141=1,Plan!$I141,0)</f>
        <v>0</v>
      </c>
      <c r="L141" s="1" t="n">
        <f aca="false">IF(Pertenencia!L141=1,Plan!$I141,0)</f>
        <v>0</v>
      </c>
      <c r="M141" s="1" t="n">
        <f aca="false">IF(Pertenencia!M141=1,Plan!$I141,0)</f>
        <v>0</v>
      </c>
    </row>
    <row r="142" customFormat="false" ht="15" hidden="false" customHeight="true" outlineLevel="0" collapsed="false">
      <c r="A142" s="1" t="s">
        <v>563</v>
      </c>
      <c r="B142" s="1" t="n">
        <f aca="false">IF(Pertenencia!B142=1,Plan!$I142,0)</f>
        <v>0</v>
      </c>
      <c r="C142" s="1" t="n">
        <f aca="false">IF(Pertenencia!C142=1,Plan!$I142,0)</f>
        <v>0</v>
      </c>
      <c r="D142" s="1" t="n">
        <f aca="false">IF(Pertenencia!D142=1,Plan!$I142,0)</f>
        <v>0</v>
      </c>
      <c r="E142" s="1" t="n">
        <f aca="false">IF(Pertenencia!E142=1,Plan!$I142,0)</f>
        <v>0</v>
      </c>
      <c r="F142" s="1" t="n">
        <f aca="false">IF(Pertenencia!F142=1,Plan!$I142,0)</f>
        <v>0</v>
      </c>
      <c r="G142" s="1" t="n">
        <f aca="false">IF(Pertenencia!G142=1,Plan!$I142,0)</f>
        <v>0</v>
      </c>
      <c r="H142" s="1" t="n">
        <f aca="false">IF(Pertenencia!H142=1,Plan!$I142,0)</f>
        <v>0</v>
      </c>
      <c r="I142" s="1" t="n">
        <f aca="false">IF(Pertenencia!I142=1,Plan!$I142,0)</f>
        <v>2</v>
      </c>
      <c r="J142" s="1" t="n">
        <f aca="false">IF(Pertenencia!J142=1,Plan!$I142,0)</f>
        <v>0</v>
      </c>
      <c r="K142" s="1" t="n">
        <f aca="false">IF(Pertenencia!K142=1,Plan!$I142,0)</f>
        <v>0</v>
      </c>
      <c r="L142" s="1" t="n">
        <f aca="false">IF(Pertenencia!L142=1,Plan!$I142,0)</f>
        <v>0</v>
      </c>
      <c r="M142" s="1" t="n">
        <f aca="false">IF(Pertenencia!M142=1,Plan!$I142,0)</f>
        <v>0</v>
      </c>
    </row>
    <row r="143" customFormat="false" ht="15" hidden="false" customHeight="true" outlineLevel="0" collapsed="false">
      <c r="A143" s="1" t="s">
        <v>566</v>
      </c>
      <c r="B143" s="1" t="n">
        <f aca="false">IF(Pertenencia!B143=1,Plan!$I143,0)</f>
        <v>0</v>
      </c>
      <c r="C143" s="1" t="n">
        <f aca="false">IF(Pertenencia!C143=1,Plan!$I143,0)</f>
        <v>0</v>
      </c>
      <c r="D143" s="1" t="n">
        <f aca="false">IF(Pertenencia!D143=1,Plan!$I143,0)</f>
        <v>0</v>
      </c>
      <c r="E143" s="1" t="n">
        <f aca="false">IF(Pertenencia!E143=1,Plan!$I143,0)</f>
        <v>0</v>
      </c>
      <c r="F143" s="1" t="n">
        <f aca="false">IF(Pertenencia!F143=1,Plan!$I143,0)</f>
        <v>0</v>
      </c>
      <c r="G143" s="1" t="n">
        <f aca="false">IF(Pertenencia!G143=1,Plan!$I143,0)</f>
        <v>0</v>
      </c>
      <c r="H143" s="1" t="n">
        <f aca="false">IF(Pertenencia!H143=1,Plan!$I143,0)</f>
        <v>0</v>
      </c>
      <c r="I143" s="1" t="n">
        <f aca="false">IF(Pertenencia!I143=1,Plan!$I143,0)</f>
        <v>2</v>
      </c>
      <c r="J143" s="1" t="n">
        <f aca="false">IF(Pertenencia!J143=1,Plan!$I143,0)</f>
        <v>0</v>
      </c>
      <c r="K143" s="1" t="n">
        <f aca="false">IF(Pertenencia!K143=1,Plan!$I143,0)</f>
        <v>0</v>
      </c>
      <c r="L143" s="1" t="n">
        <f aca="false">IF(Pertenencia!L143=1,Plan!$I143,0)</f>
        <v>0</v>
      </c>
      <c r="M143" s="1" t="n">
        <f aca="false">IF(Pertenencia!M143=1,Plan!$I143,0)</f>
        <v>0</v>
      </c>
    </row>
    <row r="144" customFormat="false" ht="15" hidden="false" customHeight="true" outlineLevel="0" collapsed="false">
      <c r="A144" s="1" t="s">
        <v>570</v>
      </c>
      <c r="B144" s="1" t="n">
        <f aca="false">IF(Pertenencia!B144=1,Plan!$I144,0)</f>
        <v>0</v>
      </c>
      <c r="C144" s="1" t="n">
        <f aca="false">IF(Pertenencia!C144=1,Plan!$I144,0)</f>
        <v>0</v>
      </c>
      <c r="D144" s="1" t="n">
        <f aca="false">IF(Pertenencia!D144=1,Plan!$I144,0)</f>
        <v>0</v>
      </c>
      <c r="E144" s="1" t="n">
        <f aca="false">IF(Pertenencia!E144=1,Plan!$I144,0)</f>
        <v>0</v>
      </c>
      <c r="F144" s="1" t="n">
        <f aca="false">IF(Pertenencia!F144=1,Plan!$I144,0)</f>
        <v>0</v>
      </c>
      <c r="G144" s="1" t="n">
        <f aca="false">IF(Pertenencia!G144=1,Plan!$I144,0)</f>
        <v>0</v>
      </c>
      <c r="H144" s="1" t="n">
        <f aca="false">IF(Pertenencia!H144=1,Plan!$I144,0)</f>
        <v>0</v>
      </c>
      <c r="I144" s="1" t="n">
        <f aca="false">IF(Pertenencia!I144=1,Plan!$I144,0)</f>
        <v>2</v>
      </c>
      <c r="J144" s="1" t="n">
        <f aca="false">IF(Pertenencia!J144=1,Plan!$I144,0)</f>
        <v>0</v>
      </c>
      <c r="K144" s="1" t="n">
        <f aca="false">IF(Pertenencia!K144=1,Plan!$I144,0)</f>
        <v>0</v>
      </c>
      <c r="L144" s="1" t="n">
        <f aca="false">IF(Pertenencia!L144=1,Plan!$I144,0)</f>
        <v>0</v>
      </c>
      <c r="M144" s="1" t="n">
        <f aca="false">IF(Pertenencia!M144=1,Plan!$I144,0)</f>
        <v>0</v>
      </c>
    </row>
    <row r="145" customFormat="false" ht="15" hidden="false" customHeight="true" outlineLevel="0" collapsed="false">
      <c r="A145" s="1" t="s">
        <v>573</v>
      </c>
      <c r="B145" s="1" t="n">
        <f aca="false">IF(Pertenencia!B145=1,Plan!$I145,0)</f>
        <v>0</v>
      </c>
      <c r="C145" s="1" t="n">
        <f aca="false">IF(Pertenencia!C145=1,Plan!$I145,0)</f>
        <v>0</v>
      </c>
      <c r="D145" s="1" t="n">
        <f aca="false">IF(Pertenencia!D145=1,Plan!$I145,0)</f>
        <v>0</v>
      </c>
      <c r="E145" s="1" t="n">
        <f aca="false">IF(Pertenencia!E145=1,Plan!$I145,0)</f>
        <v>0</v>
      </c>
      <c r="F145" s="1" t="n">
        <f aca="false">IF(Pertenencia!F145=1,Plan!$I145,0)</f>
        <v>0</v>
      </c>
      <c r="G145" s="1" t="n">
        <f aca="false">IF(Pertenencia!G145=1,Plan!$I145,0)</f>
        <v>0</v>
      </c>
      <c r="H145" s="1" t="n">
        <f aca="false">IF(Pertenencia!H145=1,Plan!$I145,0)</f>
        <v>0</v>
      </c>
      <c r="I145" s="1" t="n">
        <f aca="false">IF(Pertenencia!I145=1,Plan!$I145,0)</f>
        <v>2</v>
      </c>
      <c r="J145" s="1" t="n">
        <f aca="false">IF(Pertenencia!J145=1,Plan!$I145,0)</f>
        <v>0</v>
      </c>
      <c r="K145" s="1" t="n">
        <f aca="false">IF(Pertenencia!K145=1,Plan!$I145,0)</f>
        <v>0</v>
      </c>
      <c r="L145" s="1" t="n">
        <f aca="false">IF(Pertenencia!L145=1,Plan!$I145,0)</f>
        <v>0</v>
      </c>
      <c r="M145" s="1" t="n">
        <f aca="false">IF(Pertenencia!M145=1,Plan!$I145,0)</f>
        <v>0</v>
      </c>
    </row>
  </sheetData>
  <conditionalFormatting sqref="B2:L124">
    <cfRule type="cellIs" priority="2" operator="equal" aboveAverage="0" equalAverage="0" bottom="0" percent="0" rank="0" text="" dxfId="16">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2" activeCellId="0" sqref="D12"/>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19.52"/>
    <col collapsed="false" customWidth="true" hidden="false" outlineLevel="0" max="4" min="4" style="1" width="10"/>
    <col collapsed="false" customWidth="true" hidden="false" outlineLevel="0" max="5" min="5" style="1" width="110"/>
    <col collapsed="false" customWidth="true" hidden="false" outlineLevel="0" max="6" min="6" style="1" width="28"/>
  </cols>
  <sheetData>
    <row r="1" customFormat="false" ht="30" hidden="false" customHeight="true" outlineLevel="0" collapsed="false">
      <c r="A1" s="9" t="s">
        <v>588</v>
      </c>
      <c r="B1" s="9" t="s">
        <v>589</v>
      </c>
      <c r="C1" s="9" t="s">
        <v>590</v>
      </c>
      <c r="D1" s="9" t="s">
        <v>50</v>
      </c>
      <c r="E1" s="10" t="s">
        <v>591</v>
      </c>
      <c r="F1" s="9" t="s">
        <v>592</v>
      </c>
      <c r="G1" s="2" t="s">
        <v>593</v>
      </c>
      <c r="H1" s="2" t="s">
        <v>594</v>
      </c>
      <c r="I1" s="2" t="s">
        <v>595</v>
      </c>
      <c r="J1" s="2" t="s">
        <v>596</v>
      </c>
      <c r="K1" s="2" t="s">
        <v>597</v>
      </c>
    </row>
    <row r="2" customFormat="false" ht="45" hidden="false" customHeight="true" outlineLevel="0" collapsed="false">
      <c r="A2" s="1" t="s">
        <v>576</v>
      </c>
      <c r="B2" s="1" t="s">
        <v>598</v>
      </c>
      <c r="C2" s="11" t="n">
        <v>46191</v>
      </c>
      <c r="D2" s="12" t="n">
        <f aca="false">SUMPRODUCT((Pertenencia!B$2:B$145=1)*(Plan!$D$2:$D$145=3)*Plan!$E$2:$E$145)/SUMPRODUCT((Pertenencia!B$2:B$145=1)*(Plan!$D$2:$D$145=3))</f>
        <v>0.75</v>
      </c>
      <c r="E2" s="8" t="s">
        <v>599</v>
      </c>
      <c r="F2" s="1" t="s">
        <v>600</v>
      </c>
      <c r="G2" s="12" t="n">
        <v>1</v>
      </c>
      <c r="H2" s="13" t="n">
        <v>46318</v>
      </c>
      <c r="I2" s="12" t="n">
        <f aca="false">IF(SUMPRODUCT((Pertenencia!B$2:B$145=1)*(Plan!$D$2:$D$145=3)*(Plan!$J$2:$J$145="Entendimiento"))=0,"",SUMPRODUCT((Pertenencia!B$2:B$145=1)*(Plan!$D$2:$D$145=3)*(Plan!$J$2:$J$145="Entendimiento")*Plan!$E$2:$E$145)/SUMPRODUCT((Pertenencia!B$2:B$145=1)*(Plan!$D$2:$D$145=3)*(Plan!$J$2:$J$145="Entendimiento")))</f>
        <v>0.882142857142857</v>
      </c>
      <c r="J2" s="12" t="n">
        <f aca="false">IF(SUMPRODUCT((Pertenencia!B$2:B$145=1)*(Plan!$D$2:$D$145=3)*(Plan!$J$2:$J$145="Construcción y cierre"))=0,"",SUMPRODUCT((Pertenencia!B$2:B$145=1)*(Plan!$D$2:$D$145=3)*(Plan!$J$2:$J$145="Construcción y cierre")*Plan!$E$2:$E$145)/SUMPRODUCT((Pertenencia!B$2:B$145=1)*(Plan!$D$2:$D$145=3)*(Plan!$J$2:$J$145="Construcción y cierre")))</f>
        <v>0.581818181818182</v>
      </c>
      <c r="K2" s="1" t="s">
        <v>601</v>
      </c>
    </row>
    <row r="3" customFormat="false" ht="30" hidden="false" customHeight="true" outlineLevel="0" collapsed="false">
      <c r="A3" s="1" t="s">
        <v>577</v>
      </c>
      <c r="B3" s="1" t="s">
        <v>602</v>
      </c>
      <c r="C3" s="11" t="n">
        <v>46218</v>
      </c>
      <c r="D3" s="12" t="n">
        <f aca="false">SUMPRODUCT((Pertenencia!C$2:C$145=1)*(Plan!$D$2:$D$145=3)*Plan!$E$2:$E$145)/SUMPRODUCT((Pertenencia!C$2:C$145=1)*(Plan!$D$2:$D$145=3))</f>
        <v>0.831818181818182</v>
      </c>
      <c r="E3" s="8" t="s">
        <v>603</v>
      </c>
      <c r="F3" s="1" t="s">
        <v>604</v>
      </c>
      <c r="G3" s="12" t="n">
        <v>0.55</v>
      </c>
      <c r="H3" s="13" t="n">
        <v>46318</v>
      </c>
      <c r="I3" s="12" t="n">
        <f aca="false">IF(SUMPRODUCT((Pertenencia!C$2:C$145=1)*(Plan!$D$2:$D$145=3)*(Plan!$J$2:$J$145="Entendimiento"))=0,"",SUMPRODUCT((Pertenencia!C$2:C$145=1)*(Plan!$D$2:$D$145=3)*(Plan!$J$2:$J$145="Entendimiento")*Plan!$E$2:$E$145)/SUMPRODUCT((Pertenencia!C$2:C$145=1)*(Plan!$D$2:$D$145=3)*(Plan!$J$2:$J$145="Entendimiento")))</f>
        <v>0.8875</v>
      </c>
      <c r="J3" s="12" t="n">
        <f aca="false">IF(SUMPRODUCT((Pertenencia!C$2:C$145=1)*(Plan!$D$2:$D$145=3)*(Plan!$J$2:$J$145="Construcción y cierre"))=0,"",SUMPRODUCT((Pertenencia!C$2:C$145=1)*(Plan!$D$2:$D$145=3)*(Plan!$J$2:$J$145="Construcción y cierre")*Plan!$E$2:$E$145)/SUMPRODUCT((Pertenencia!C$2:C$145=1)*(Plan!$D$2:$D$145=3)*(Plan!$J$2:$J$145="Construcción y cierre")))</f>
        <v>0.683333333333333</v>
      </c>
      <c r="K3" s="1" t="s">
        <v>601</v>
      </c>
    </row>
    <row r="4" customFormat="false" ht="30" hidden="false" customHeight="true" outlineLevel="0" collapsed="false">
      <c r="A4" s="1" t="s">
        <v>578</v>
      </c>
      <c r="B4" s="1" t="s">
        <v>605</v>
      </c>
      <c r="C4" s="11" t="n">
        <v>46321</v>
      </c>
      <c r="D4" s="12" t="n">
        <f aca="false">SUMPRODUCT((Pertenencia!D$2:D$145=1)*(Plan!$D$2:$D$145=3)*Plan!$E$2:$E$145)/SUMPRODUCT((Pertenencia!D$2:D$145=1)*(Plan!$D$2:$D$145=3))</f>
        <v>0.35</v>
      </c>
      <c r="E4" s="8" t="s">
        <v>606</v>
      </c>
      <c r="F4" s="1" t="s">
        <v>607</v>
      </c>
      <c r="G4" s="12"/>
      <c r="H4" s="13" t="n">
        <v>46318</v>
      </c>
      <c r="I4" s="12" t="n">
        <f aca="false">IF(SUMPRODUCT((Pertenencia!D$2:D$145=1)*(Plan!$D$2:$D$145=3)*(Plan!$J$2:$J$145="Entendimiento"))=0,"",SUMPRODUCT((Pertenencia!D$2:D$145=1)*(Plan!$D$2:$D$145=3)*(Plan!$J$2:$J$145="Entendimiento")*Plan!$E$2:$E$145)/SUMPRODUCT((Pertenencia!D$2:D$145=1)*(Plan!$D$2:$D$145=3)*(Plan!$J$2:$J$145="Entendimiento")))</f>
        <v>0.53</v>
      </c>
      <c r="J4" s="12" t="n">
        <f aca="false">IF(SUMPRODUCT((Pertenencia!D$2:D$145=1)*(Plan!$D$2:$D$145=3)*(Plan!$J$2:$J$145="Construcción y cierre"))=0,"",SUMPRODUCT((Pertenencia!D$2:D$145=1)*(Plan!$D$2:$D$145=3)*(Plan!$J$2:$J$145="Construcción y cierre")*Plan!$E$2:$E$145)/SUMPRODUCT((Pertenencia!D$2:D$145=1)*(Plan!$D$2:$D$145=3)*(Plan!$J$2:$J$145="Construcción y cierre")))</f>
        <v>0.05</v>
      </c>
      <c r="K4" s="1" t="s">
        <v>601</v>
      </c>
    </row>
    <row r="5" customFormat="false" ht="30" hidden="false" customHeight="true" outlineLevel="0" collapsed="false">
      <c r="A5" s="1" t="s">
        <v>579</v>
      </c>
      <c r="B5" s="1" t="s">
        <v>608</v>
      </c>
      <c r="C5" s="11" t="n">
        <v>46248</v>
      </c>
      <c r="D5" s="12" t="n">
        <f aca="false">SUMPRODUCT((Pertenencia!E$2:E$145=1)*(Plan!$D$2:$D$145=3)*Plan!$E$2:$E$145)/SUMPRODUCT((Pertenencia!E$2:E$145=1)*(Plan!$D$2:$D$145=3))</f>
        <v>0.825</v>
      </c>
      <c r="E5" s="8" t="s">
        <v>609</v>
      </c>
      <c r="F5" s="1" t="s">
        <v>600</v>
      </c>
      <c r="G5" s="12" t="n">
        <v>0.01</v>
      </c>
      <c r="H5" s="13" t="n">
        <v>46318</v>
      </c>
      <c r="I5" s="12" t="n">
        <f aca="false">IF(SUMPRODUCT((Pertenencia!E$2:E$145=1)*(Plan!$D$2:$D$145=3)*(Plan!$J$2:$J$145="Entendimiento"))=0,"",SUMPRODUCT((Pertenencia!E$2:E$145=1)*(Plan!$D$2:$D$145=3)*(Plan!$J$2:$J$145="Entendimiento")*Plan!$E$2:$E$145)/SUMPRODUCT((Pertenencia!E$2:E$145=1)*(Plan!$D$2:$D$145=3)*(Plan!$J$2:$J$145="Entendimiento")))</f>
        <v>0.933333333333333</v>
      </c>
      <c r="J5" s="12" t="n">
        <f aca="false">IF(SUMPRODUCT((Pertenencia!E$2:E$145=1)*(Plan!$D$2:$D$145=3)*(Plan!$J$2:$J$145="Construcción y cierre"))=0,"",SUMPRODUCT((Pertenencia!E$2:E$145=1)*(Plan!$D$2:$D$145=3)*(Plan!$J$2:$J$145="Construcción y cierre")*Plan!$E$2:$E$145)/SUMPRODUCT((Pertenencia!E$2:E$145=1)*(Plan!$D$2:$D$145=3)*(Plan!$J$2:$J$145="Construcción y cierre")))</f>
        <v>0.5</v>
      </c>
      <c r="K5" s="1" t="s">
        <v>601</v>
      </c>
    </row>
    <row r="6" customFormat="false" ht="30" hidden="false" customHeight="true" outlineLevel="0" collapsed="false">
      <c r="A6" s="1" t="s">
        <v>580</v>
      </c>
      <c r="B6" s="1" t="s">
        <v>610</v>
      </c>
      <c r="C6" s="11" t="n">
        <v>46248</v>
      </c>
      <c r="D6" s="12" t="n">
        <f aca="false">SUMPRODUCT((Pertenencia!F$2:F$145=1)*(Plan!$D$2:$D$145=3)*Plan!$E$2:$E$145)/SUMPRODUCT((Pertenencia!F$2:F$145=1)*(Plan!$D$2:$D$145=3))</f>
        <v>0.688888888888889</v>
      </c>
      <c r="E6" s="8" t="s">
        <v>611</v>
      </c>
      <c r="F6" s="1" t="s">
        <v>612</v>
      </c>
      <c r="G6" s="12" t="n">
        <v>0.18</v>
      </c>
      <c r="H6" s="13" t="n">
        <v>46318</v>
      </c>
      <c r="I6" s="12" t="n">
        <f aca="false">IF(SUMPRODUCT((Pertenencia!F$2:F$145=1)*(Plan!$D$2:$D$145=3)*(Plan!$J$2:$J$145="Entendimiento"))=0,"",SUMPRODUCT((Pertenencia!F$2:F$145=1)*(Plan!$D$2:$D$145=3)*(Plan!$J$2:$J$145="Entendimiento")*Plan!$E$2:$E$145)/SUMPRODUCT((Pertenencia!F$2:F$145=1)*(Plan!$D$2:$D$145=3)*(Plan!$J$2:$J$145="Entendimiento")))</f>
        <v>0.778571428571429</v>
      </c>
      <c r="J6" s="12" t="n">
        <f aca="false">IF(SUMPRODUCT((Pertenencia!F$2:F$145=1)*(Plan!$D$2:$D$145=3)*(Plan!$J$2:$J$145="Construcción y cierre"))=0,"",SUMPRODUCT((Pertenencia!F$2:F$145=1)*(Plan!$D$2:$D$145=3)*(Plan!$J$2:$J$145="Construcción y cierre")*Plan!$E$2:$E$145)/SUMPRODUCT((Pertenencia!F$2:F$145=1)*(Plan!$D$2:$D$145=3)*(Plan!$J$2:$J$145="Construcción y cierre")))</f>
        <v>0.375</v>
      </c>
      <c r="K6" s="1" t="s">
        <v>601</v>
      </c>
    </row>
    <row r="7" customFormat="false" ht="45" hidden="false" customHeight="true" outlineLevel="0" collapsed="false">
      <c r="A7" s="1" t="s">
        <v>581</v>
      </c>
      <c r="B7" s="1" t="s">
        <v>613</v>
      </c>
      <c r="C7" s="11" t="n">
        <v>46260</v>
      </c>
      <c r="D7" s="12" t="n">
        <f aca="false">SUMPRODUCT((Pertenencia!G$2:G$145=1)*(Plan!$D$2:$D$145=3)*Plan!$E$2:$E$145)/SUMPRODUCT((Pertenencia!G$2:G$145=1)*(Plan!$D$2:$D$145=3))</f>
        <v>0.485</v>
      </c>
      <c r="E7" s="8" t="s">
        <v>614</v>
      </c>
      <c r="F7" s="1" t="s">
        <v>615</v>
      </c>
      <c r="G7" s="12" t="n">
        <v>0.16</v>
      </c>
      <c r="H7" s="13" t="n">
        <v>46318</v>
      </c>
      <c r="I7" s="12" t="n">
        <f aca="false">IF(SUMPRODUCT((Pertenencia!G$2:G$145=1)*(Plan!$D$2:$D$145=3)*(Plan!$J$2:$J$145="Entendimiento"))=0,"",SUMPRODUCT((Pertenencia!G$2:G$145=1)*(Plan!$D$2:$D$145=3)*(Plan!$J$2:$J$145="Entendimiento")*Plan!$E$2:$E$145)/SUMPRODUCT((Pertenencia!G$2:G$145=1)*(Plan!$D$2:$D$145=3)*(Plan!$J$2:$J$145="Entendimiento")))</f>
        <v>0.657142857142857</v>
      </c>
      <c r="J7" s="12" t="n">
        <f aca="false">IF(SUMPRODUCT((Pertenencia!G$2:G$145=1)*(Plan!$D$2:$D$145=3)*(Plan!$J$2:$J$145="Construcción y cierre"))=0,"",SUMPRODUCT((Pertenencia!G$2:G$145=1)*(Plan!$D$2:$D$145=3)*(Plan!$J$2:$J$145="Construcción y cierre")*Plan!$E$2:$E$145)/SUMPRODUCT((Pertenencia!G$2:G$145=1)*(Plan!$D$2:$D$145=3)*(Plan!$J$2:$J$145="Construcción y cierre")))</f>
        <v>0.392307692307692</v>
      </c>
      <c r="K7" s="1" t="s">
        <v>601</v>
      </c>
    </row>
    <row r="8" customFormat="false" ht="45" hidden="false" customHeight="true" outlineLevel="0" collapsed="false">
      <c r="A8" s="1" t="s">
        <v>582</v>
      </c>
      <c r="B8" s="1" t="s">
        <v>616</v>
      </c>
      <c r="C8" s="11" t="n">
        <v>46156</v>
      </c>
      <c r="D8" s="12" t="n">
        <f aca="false">SUMPRODUCT((Pertenencia!H$2:H$145=1)*(Plan!$D$2:$D$145=3)*Plan!$E$2:$E$145)/SUMPRODUCT((Pertenencia!H$2:H$145=1)*(Plan!$D$2:$D$145=3))</f>
        <v>0.905</v>
      </c>
      <c r="E8" s="8" t="s">
        <v>617</v>
      </c>
      <c r="F8" s="1" t="s">
        <v>618</v>
      </c>
      <c r="G8" s="12" t="n">
        <v>1</v>
      </c>
      <c r="H8" s="13" t="n">
        <v>46318</v>
      </c>
      <c r="I8" s="12" t="n">
        <f aca="false">IF(SUMPRODUCT((Pertenencia!H$2:H$145=1)*(Plan!$D$2:$D$145=3)*(Plan!$J$2:$J$145="Entendimiento"))=0,"",SUMPRODUCT((Pertenencia!H$2:H$145=1)*(Plan!$D$2:$D$145=3)*(Plan!$J$2:$J$145="Entendimiento")*Plan!$E$2:$E$145)/SUMPRODUCT((Pertenencia!H$2:H$145=1)*(Plan!$D$2:$D$145=3)*(Plan!$J$2:$J$145="Entendimiento")))</f>
        <v>0.894444444444445</v>
      </c>
      <c r="J8" s="12" t="n">
        <f aca="false">IF(SUMPRODUCT((Pertenencia!H$2:H$145=1)*(Plan!$D$2:$D$145=3)*(Plan!$J$2:$J$145="Construcción y cierre"))=0,"",SUMPRODUCT((Pertenencia!H$2:H$145=1)*(Plan!$D$2:$D$145=3)*(Plan!$J$2:$J$145="Construcción y cierre")*Plan!$E$2:$E$145)/SUMPRODUCT((Pertenencia!H$2:H$145=1)*(Plan!$D$2:$D$145=3)*(Plan!$J$2:$J$145="Construcción y cierre")))</f>
        <v>1</v>
      </c>
      <c r="K8" s="1" t="s">
        <v>619</v>
      </c>
    </row>
    <row r="9" customFormat="false" ht="30" hidden="false" customHeight="true" outlineLevel="0" collapsed="false">
      <c r="A9" s="1" t="s">
        <v>583</v>
      </c>
      <c r="B9" s="1" t="s">
        <v>620</v>
      </c>
      <c r="C9" s="11" t="n">
        <v>46325</v>
      </c>
      <c r="D9" s="12" t="n">
        <f aca="false">SUMPRODUCT((Pertenencia!I$2:I$145=1)*(Plan!$D$2:$D$145=3)*Plan!$E$2:$E$145)/SUMPRODUCT((Pertenencia!I$2:I$145=1)*(Plan!$D$2:$D$145=3))</f>
        <v>0.871428571428571</v>
      </c>
      <c r="E9" s="8" t="s">
        <v>621</v>
      </c>
      <c r="F9" s="1" t="s">
        <v>622</v>
      </c>
      <c r="G9" s="12" t="n">
        <v>0.95</v>
      </c>
      <c r="H9" s="13" t="n">
        <v>46318</v>
      </c>
      <c r="I9" s="12" t="n">
        <f aca="false">IF(SUMPRODUCT((Pertenencia!I$2:I$145=1)*(Plan!$D$2:$D$145=3)*(Plan!$J$2:$J$145="Entendimiento"))=0,"",SUMPRODUCT((Pertenencia!I$2:I$145=1)*(Plan!$D$2:$D$145=3)*(Plan!$J$2:$J$145="Entendimiento")*Plan!$E$2:$E$145)/SUMPRODUCT((Pertenencia!I$2:I$145=1)*(Plan!$D$2:$D$145=3)*(Plan!$J$2:$J$145="Entendimiento")))</f>
        <v>0.870588235294118</v>
      </c>
      <c r="J9" s="12" t="n">
        <f aca="false">IF(SUMPRODUCT((Pertenencia!I$2:I$145=1)*(Plan!$D$2:$D$145=3)*(Plan!$J$2:$J$145="Construcción y cierre"))=0,"",SUMPRODUCT((Pertenencia!I$2:I$145=1)*(Plan!$D$2:$D$145=3)*(Plan!$J$2:$J$145="Construcción y cierre")*Plan!$E$2:$E$145)/SUMPRODUCT((Pertenencia!I$2:I$145=1)*(Plan!$D$2:$D$145=3)*(Plan!$J$2:$J$145="Construcción y cierre")))</f>
        <v>0.875</v>
      </c>
      <c r="K9" s="1" t="s">
        <v>619</v>
      </c>
    </row>
    <row r="10" customFormat="false" ht="30" hidden="false" customHeight="true" outlineLevel="0" collapsed="false">
      <c r="A10" s="1" t="s">
        <v>584</v>
      </c>
      <c r="B10" s="1" t="s">
        <v>623</v>
      </c>
      <c r="C10" s="11" t="n">
        <v>46265</v>
      </c>
      <c r="D10" s="12" t="n">
        <f aca="false">SUMPRODUCT((Pertenencia!J$2:J$145=1)*(Plan!$D$2:$D$145=3)*Plan!$E$2:$E$145)/SUMPRODUCT((Pertenencia!J$2:J$145=1)*(Plan!$D$2:$D$145=3))</f>
        <v>0.327272727272727</v>
      </c>
      <c r="E10" s="8" t="s">
        <v>624</v>
      </c>
      <c r="F10" s="1" t="s">
        <v>604</v>
      </c>
      <c r="G10" s="12" t="n">
        <v>0.65</v>
      </c>
      <c r="H10" s="13" t="n">
        <v>46318</v>
      </c>
      <c r="I10" s="12" t="str">
        <f aca="false">IF(SUMPRODUCT((Pertenencia!J$2:J$145=1)*(Plan!$D$2:$D$145=3)*(Plan!$J$2:$J$145="Entendimiento"))=0,"",SUMPRODUCT((Pertenencia!J$2:J$145=1)*(Plan!$D$2:$D$145=3)*(Plan!$J$2:$J$145="Entendimiento")*Plan!$E$2:$E$145)/SUMPRODUCT((Pertenencia!J$2:J$145=1)*(Plan!$D$2:$D$145=3)*(Plan!$J$2:$J$145="Entendimiento")))</f>
        <v/>
      </c>
      <c r="J10" s="12" t="n">
        <f aca="false">IF(SUMPRODUCT((Pertenencia!J$2:J$145=1)*(Plan!$D$2:$D$145=3)*(Plan!$J$2:$J$145="Construcción y cierre"))=0,"",SUMPRODUCT((Pertenencia!J$2:J$145=1)*(Plan!$D$2:$D$145=3)*(Plan!$J$2:$J$145="Construcción y cierre")*Plan!$E$2:$E$145)/SUMPRODUCT((Pertenencia!J$2:J$145=1)*(Plan!$D$2:$D$145=3)*(Plan!$J$2:$J$145="Construcción y cierre")))</f>
        <v>0.327272727272727</v>
      </c>
      <c r="K10" s="1" t="s">
        <v>619</v>
      </c>
    </row>
    <row r="11" customFormat="false" ht="30" hidden="false" customHeight="true" outlineLevel="0" collapsed="false">
      <c r="A11" s="1" t="s">
        <v>585</v>
      </c>
      <c r="B11" s="1" t="s">
        <v>625</v>
      </c>
      <c r="C11" s="11" t="n">
        <v>46326</v>
      </c>
      <c r="D11" s="12" t="n">
        <f aca="false">SUMPRODUCT((Pertenencia!K$2:K$145=1)*(Plan!$D$2:$D$145=3)*Plan!$E$2:$E$145)/SUMPRODUCT((Pertenencia!K$2:K$145=1)*(Plan!$D$2:$D$145=3))</f>
        <v>0.4</v>
      </c>
      <c r="E11" s="8" t="s">
        <v>626</v>
      </c>
      <c r="F11" s="1" t="s">
        <v>627</v>
      </c>
      <c r="G11" s="12" t="n">
        <v>0.7</v>
      </c>
      <c r="H11" s="13" t="n">
        <v>46318</v>
      </c>
      <c r="I11" s="12" t="str">
        <f aca="false">IF(SUMPRODUCT((Pertenencia!K$2:K$145=1)*(Plan!$D$2:$D$145=3)*(Plan!$J$2:$J$145="Entendimiento"))=0,"",SUMPRODUCT((Pertenencia!K$2:K$145=1)*(Plan!$D$2:$D$145=3)*(Plan!$J$2:$J$145="Entendimiento")*Plan!$E$2:$E$145)/SUMPRODUCT((Pertenencia!K$2:K$145=1)*(Plan!$D$2:$D$145=3)*(Plan!$J$2:$J$145="Entendimiento")))</f>
        <v/>
      </c>
      <c r="J11" s="12" t="n">
        <f aca="false">IF(SUMPRODUCT((Pertenencia!K$2:K$145=1)*(Plan!$D$2:$D$145=3)*(Plan!$J$2:$J$145="Construcción y cierre"))=0,"",SUMPRODUCT((Pertenencia!K$2:K$145=1)*(Plan!$D$2:$D$145=3)*(Plan!$J$2:$J$145="Construcción y cierre")*Plan!$E$2:$E$145)/SUMPRODUCT((Pertenencia!K$2:K$145=1)*(Plan!$D$2:$D$145=3)*(Plan!$J$2:$J$145="Construcción y cierre")))</f>
        <v>0.4</v>
      </c>
      <c r="K11" s="1" t="s">
        <v>619</v>
      </c>
    </row>
    <row r="12" customFormat="false" ht="30" hidden="false" customHeight="true" outlineLevel="0" collapsed="false">
      <c r="A12" s="1" t="s">
        <v>586</v>
      </c>
      <c r="B12" s="1" t="s">
        <v>628</v>
      </c>
      <c r="C12" s="11" t="n">
        <v>46326</v>
      </c>
      <c r="D12" s="12" t="n">
        <f aca="false">SUMPRODUCT((Pertenencia!L$2:L$145=1)*(Plan!$D$2:$D$145=3)*Plan!$E$2:$E$145)/SUMPRODUCT((Pertenencia!L$2:L$145=1)*(Plan!$D$2:$D$145=3))</f>
        <v>0.254166666666667</v>
      </c>
      <c r="E12" s="8" t="s">
        <v>629</v>
      </c>
      <c r="F12" s="1" t="s">
        <v>630</v>
      </c>
      <c r="G12" s="12" t="n">
        <v>0.4</v>
      </c>
      <c r="H12" s="13" t="n">
        <v>46318</v>
      </c>
      <c r="I12" s="12" t="str">
        <f aca="false">IF(SUMPRODUCT((Pertenencia!L$2:L$145=1)*(Plan!$D$2:$D$145=3)*(Plan!$J$2:$J$145="Entendimiento"))=0,"",SUMPRODUCT((Pertenencia!L$2:L$145=1)*(Plan!$D$2:$D$145=3)*(Plan!$J$2:$J$145="Entendimiento")*Plan!$E$2:$E$145)/SUMPRODUCT((Pertenencia!L$2:L$145=1)*(Plan!$D$2:$D$145=3)*(Plan!$J$2:$J$145="Entendimiento")))</f>
        <v/>
      </c>
      <c r="J12" s="12" t="n">
        <f aca="false">IF(SUMPRODUCT((Pertenencia!L$2:L$145=1)*(Plan!$D$2:$D$145=3)*(Plan!$J$2:$J$145="Construcción y cierre"))=0,"",SUMPRODUCT((Pertenencia!L$2:L$145=1)*(Plan!$D$2:$D$145=3)*(Plan!$J$2:$J$145="Construcción y cierre")*Plan!$E$2:$E$145)/SUMPRODUCT((Pertenencia!L$2:L$145=1)*(Plan!$D$2:$D$145=3)*(Plan!$J$2:$J$145="Construcción y cierre")))</f>
        <v>0.254166666666667</v>
      </c>
      <c r="K12" s="1" t="s">
        <v>619</v>
      </c>
    </row>
    <row r="13" customFormat="false" ht="41.25" hidden="false" customHeight="true" outlineLevel="0" collapsed="false">
      <c r="A13" s="1" t="s">
        <v>587</v>
      </c>
      <c r="B13" s="1" t="s">
        <v>631</v>
      </c>
      <c r="C13" s="11" t="n">
        <v>46325</v>
      </c>
      <c r="D13" s="12" t="n">
        <f aca="false">SUMPRODUCT((Pertenencia!M$2:M$145=1)*(Plan!$D$2:$D$145=3)*Plan!$E$2:$E$145)/SUMPRODUCT((Pertenencia!M$2:M$145=1)*(Plan!$D$2:$D$145=3))</f>
        <v>0.173076923076923</v>
      </c>
      <c r="E13" s="8" t="s">
        <v>632</v>
      </c>
      <c r="F13" s="1" t="s">
        <v>622</v>
      </c>
      <c r="G13" s="12" t="n">
        <v>0</v>
      </c>
      <c r="H13" s="13" t="n">
        <v>46318</v>
      </c>
      <c r="I13" s="12" t="str">
        <f aca="false">IF(SUMPRODUCT((Pertenencia!M$2:M$145=1)*(Plan!$D$2:$D$145=3)*(Plan!$J$2:$J$145="Entendimiento"))=0,"",SUMPRODUCT((Pertenencia!M$2:M$145=1)*(Plan!$D$2:$D$145=3)*(Plan!$J$2:$J$145="Entendimiento")*Plan!$E$2:$E$145)/SUMPRODUCT((Pertenencia!M$2:M$145=1)*(Plan!$D$2:$D$145=3)*(Plan!$J$2:$J$145="Entendimiento")))</f>
        <v/>
      </c>
      <c r="J13" s="12" t="n">
        <f aca="false">IF(SUMPRODUCT((Pertenencia!M$2:M$145=1)*(Plan!$D$2:$D$145=3)*(Plan!$J$2:$J$145="Construcción y cierre"))=0,"",SUMPRODUCT((Pertenencia!M$2:M$145=1)*(Plan!$D$2:$D$145=3)*(Plan!$J$2:$J$145="Construcción y cierre")*Plan!$E$2:$E$145)/SUMPRODUCT((Pertenencia!M$2:M$145=1)*(Plan!$D$2:$D$145=3)*(Plan!$J$2:$J$145="Construcción y cierre")))</f>
        <v>0.173076923076923</v>
      </c>
      <c r="K13" s="1" t="s">
        <v>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2" activeCellId="0" sqref="D2"/>
    </sheetView>
  </sheetViews>
  <sheetFormatPr defaultColWidth="8.8320312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22"/>
    <col collapsed="false" customWidth="true" hidden="false" outlineLevel="0" max="4" min="4" style="1" width="80"/>
  </cols>
  <sheetData>
    <row r="1" customFormat="false" ht="15" hidden="false" customHeight="true" outlineLevel="0" collapsed="false">
      <c r="A1" s="9" t="s">
        <v>633</v>
      </c>
      <c r="B1" s="9" t="s">
        <v>634</v>
      </c>
      <c r="C1" s="9" t="s">
        <v>635</v>
      </c>
      <c r="D1" s="9" t="s">
        <v>48</v>
      </c>
      <c r="E1" s="1" t="s">
        <v>636</v>
      </c>
    </row>
    <row r="2" customFormat="false" ht="30" hidden="false" customHeight="true" outlineLevel="0" collapsed="false">
      <c r="A2" s="1" t="s">
        <v>576</v>
      </c>
      <c r="B2" s="1" t="s">
        <v>598</v>
      </c>
      <c r="C2" s="11" t="n">
        <v>46191</v>
      </c>
      <c r="D2" s="1" t="s">
        <v>637</v>
      </c>
      <c r="E2" s="1" t="s">
        <v>638</v>
      </c>
    </row>
    <row r="3" customFormat="false" ht="30" hidden="false" customHeight="true" outlineLevel="0" collapsed="false">
      <c r="A3" s="1" t="s">
        <v>577</v>
      </c>
      <c r="B3" s="1" t="s">
        <v>602</v>
      </c>
      <c r="C3" s="11" t="n">
        <v>46218</v>
      </c>
      <c r="D3" s="1" t="s">
        <v>639</v>
      </c>
      <c r="E3" s="1" t="s">
        <v>640</v>
      </c>
    </row>
    <row r="4" customFormat="false" ht="30" hidden="false" customHeight="true" outlineLevel="0" collapsed="false">
      <c r="A4" s="1" t="s">
        <v>578</v>
      </c>
      <c r="B4" s="1" t="s">
        <v>605</v>
      </c>
      <c r="C4" s="11" t="n">
        <v>46321</v>
      </c>
      <c r="D4" s="1" t="s">
        <v>641</v>
      </c>
      <c r="E4" s="1" t="s">
        <v>642</v>
      </c>
    </row>
    <row r="5" customFormat="false" ht="30" hidden="false" customHeight="true" outlineLevel="0" collapsed="false">
      <c r="A5" s="1" t="s">
        <v>579</v>
      </c>
      <c r="B5" s="1" t="s">
        <v>608</v>
      </c>
      <c r="C5" s="11" t="n">
        <v>46248</v>
      </c>
      <c r="D5" s="1" t="s">
        <v>643</v>
      </c>
      <c r="E5" s="1" t="s">
        <v>644</v>
      </c>
    </row>
    <row r="6" customFormat="false" ht="30" hidden="false" customHeight="true" outlineLevel="0" collapsed="false">
      <c r="A6" s="1" t="s">
        <v>580</v>
      </c>
      <c r="B6" s="1" t="s">
        <v>610</v>
      </c>
      <c r="C6" s="11" t="n">
        <v>46248</v>
      </c>
      <c r="D6" s="1" t="s">
        <v>645</v>
      </c>
      <c r="E6" s="1" t="s">
        <v>646</v>
      </c>
    </row>
    <row r="7" customFormat="false" ht="30" hidden="false" customHeight="true" outlineLevel="0" collapsed="false">
      <c r="A7" s="1" t="s">
        <v>581</v>
      </c>
      <c r="B7" s="1" t="s">
        <v>613</v>
      </c>
      <c r="C7" s="11" t="n">
        <v>46260</v>
      </c>
      <c r="D7" s="1" t="s">
        <v>647</v>
      </c>
      <c r="E7" s="1" t="s">
        <v>648</v>
      </c>
    </row>
    <row r="8" customFormat="false" ht="30" hidden="false" customHeight="true" outlineLevel="0" collapsed="false">
      <c r="A8" s="1" t="s">
        <v>582</v>
      </c>
      <c r="B8" s="1" t="s">
        <v>616</v>
      </c>
      <c r="C8" s="11" t="n">
        <v>46156</v>
      </c>
      <c r="D8" s="1" t="s">
        <v>649</v>
      </c>
      <c r="E8" s="1" t="s">
        <v>582</v>
      </c>
    </row>
    <row r="9" customFormat="false" ht="30" hidden="false" customHeight="true" outlineLevel="0" collapsed="false">
      <c r="A9" s="1" t="s">
        <v>583</v>
      </c>
      <c r="B9" s="1" t="s">
        <v>620</v>
      </c>
      <c r="C9" s="11" t="n">
        <v>46325</v>
      </c>
      <c r="D9" s="1" t="s">
        <v>650</v>
      </c>
      <c r="E9" s="1" t="s">
        <v>583</v>
      </c>
    </row>
    <row r="10" customFormat="false" ht="30" hidden="false" customHeight="true" outlineLevel="0" collapsed="false">
      <c r="A10" s="1" t="s">
        <v>584</v>
      </c>
      <c r="B10" s="1" t="s">
        <v>623</v>
      </c>
      <c r="C10" s="11" t="n">
        <v>46265</v>
      </c>
      <c r="D10" s="1" t="s">
        <v>651</v>
      </c>
      <c r="E10" s="1" t="s">
        <v>584</v>
      </c>
    </row>
    <row r="11" customFormat="false" ht="30" hidden="false" customHeight="true" outlineLevel="0" collapsed="false">
      <c r="A11" s="1" t="s">
        <v>585</v>
      </c>
      <c r="B11" s="1" t="s">
        <v>625</v>
      </c>
      <c r="C11" s="11" t="n">
        <v>46326</v>
      </c>
      <c r="D11" s="1" t="s">
        <v>652</v>
      </c>
      <c r="E11" s="1" t="s">
        <v>585</v>
      </c>
    </row>
    <row r="12" customFormat="false" ht="30" hidden="false" customHeight="true" outlineLevel="0" collapsed="false">
      <c r="A12" s="1" t="s">
        <v>586</v>
      </c>
      <c r="B12" s="1" t="s">
        <v>628</v>
      </c>
      <c r="C12" s="11" t="n">
        <v>46326</v>
      </c>
      <c r="D12" s="1" t="s">
        <v>653</v>
      </c>
      <c r="E12" s="1" t="s">
        <v>586</v>
      </c>
    </row>
    <row r="13" customFormat="false" ht="15" hidden="false" customHeight="true" outlineLevel="0" collapsed="false">
      <c r="A13" s="1" t="s">
        <v>587</v>
      </c>
      <c r="B13" s="1" t="s">
        <v>631</v>
      </c>
      <c r="C13" s="11" t="n">
        <v>46325</v>
      </c>
      <c r="D13" s="1" t="s">
        <v>654</v>
      </c>
      <c r="E13" s="1" t="s">
        <v>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10"/>
    <col collapsed="false" customWidth="true" hidden="false" outlineLevel="0" max="12" min="2" style="1" width="7"/>
  </cols>
  <sheetData>
    <row r="1" customFormat="false" ht="15" hidden="false" customHeight="true" outlineLevel="0" collapsed="false">
      <c r="A1" s="1" t="s">
        <v>46</v>
      </c>
      <c r="B1" s="1" t="s">
        <v>576</v>
      </c>
      <c r="C1" s="1" t="s">
        <v>577</v>
      </c>
      <c r="D1" s="1" t="s">
        <v>578</v>
      </c>
      <c r="E1" s="1" t="s">
        <v>579</v>
      </c>
      <c r="F1" s="1" t="s">
        <v>580</v>
      </c>
      <c r="G1" s="1" t="s">
        <v>581</v>
      </c>
      <c r="H1" s="1" t="s">
        <v>582</v>
      </c>
      <c r="I1" s="1" t="s">
        <v>583</v>
      </c>
      <c r="J1" s="1" t="s">
        <v>584</v>
      </c>
      <c r="K1" s="1" t="s">
        <v>585</v>
      </c>
      <c r="L1" s="1" t="s">
        <v>586</v>
      </c>
      <c r="M1" s="1" t="s">
        <v>587</v>
      </c>
    </row>
    <row r="2" customFormat="false" ht="15" hidden="false" customHeight="true" outlineLevel="0" collapsed="false">
      <c r="A2" s="1" t="s">
        <v>56</v>
      </c>
      <c r="B2" s="1" t="n">
        <v>0</v>
      </c>
      <c r="C2" s="1" t="n">
        <v>0</v>
      </c>
      <c r="D2" s="1" t="n">
        <v>0</v>
      </c>
      <c r="E2" s="1" t="n">
        <v>0</v>
      </c>
      <c r="F2" s="1" t="n">
        <v>0</v>
      </c>
      <c r="G2" s="1" t="n">
        <v>0</v>
      </c>
      <c r="H2" s="1" t="n">
        <v>0</v>
      </c>
      <c r="I2" s="1" t="n">
        <v>1</v>
      </c>
      <c r="J2" s="1" t="n">
        <v>0</v>
      </c>
      <c r="K2" s="1" t="n">
        <v>0</v>
      </c>
      <c r="L2" s="1" t="n">
        <v>0</v>
      </c>
      <c r="M2" s="1" t="n">
        <v>0</v>
      </c>
    </row>
    <row r="3" customFormat="false" ht="15" hidden="false" customHeight="true" outlineLevel="0" collapsed="false">
      <c r="A3" s="1" t="s">
        <v>59</v>
      </c>
      <c r="B3" s="1" t="n">
        <v>0</v>
      </c>
      <c r="C3" s="1" t="n">
        <v>0</v>
      </c>
      <c r="D3" s="1" t="n">
        <v>0</v>
      </c>
      <c r="E3" s="1" t="n">
        <v>0</v>
      </c>
      <c r="F3" s="1" t="n">
        <v>0</v>
      </c>
      <c r="G3" s="1" t="n">
        <v>0</v>
      </c>
      <c r="H3" s="1" t="n">
        <v>0</v>
      </c>
      <c r="I3" s="1" t="n">
        <v>1</v>
      </c>
      <c r="J3" s="1" t="n">
        <v>0</v>
      </c>
      <c r="K3" s="1" t="n">
        <v>0</v>
      </c>
      <c r="L3" s="1" t="n">
        <v>0</v>
      </c>
      <c r="M3" s="1" t="n">
        <v>0</v>
      </c>
    </row>
    <row r="4" customFormat="false" ht="15" hidden="false" customHeight="true" outlineLevel="0" collapsed="false">
      <c r="A4" s="1" t="s">
        <v>62</v>
      </c>
      <c r="B4" s="1" t="n">
        <v>0</v>
      </c>
      <c r="C4" s="1" t="n">
        <v>0</v>
      </c>
      <c r="D4" s="1" t="n">
        <v>0</v>
      </c>
      <c r="E4" s="1" t="n">
        <v>0</v>
      </c>
      <c r="F4" s="1" t="n">
        <v>0</v>
      </c>
      <c r="G4" s="1" t="n">
        <v>0</v>
      </c>
      <c r="H4" s="1" t="n">
        <v>0</v>
      </c>
      <c r="I4" s="1" t="n">
        <v>1</v>
      </c>
      <c r="J4" s="1" t="n">
        <v>0</v>
      </c>
      <c r="K4" s="1" t="n">
        <v>0</v>
      </c>
      <c r="L4" s="1" t="n">
        <v>0</v>
      </c>
      <c r="M4" s="1" t="n">
        <v>0</v>
      </c>
    </row>
    <row r="5" customFormat="false" ht="15" hidden="false" customHeight="true" outlineLevel="0" collapsed="false">
      <c r="A5" s="1" t="s">
        <v>67</v>
      </c>
      <c r="B5" s="1" t="n">
        <v>0</v>
      </c>
      <c r="C5" s="1" t="n">
        <v>0</v>
      </c>
      <c r="D5" s="1" t="n">
        <v>0</v>
      </c>
      <c r="E5" s="1" t="n">
        <v>0</v>
      </c>
      <c r="F5" s="1" t="n">
        <v>0</v>
      </c>
      <c r="G5" s="1" t="n">
        <v>0</v>
      </c>
      <c r="H5" s="1" t="n">
        <v>0</v>
      </c>
      <c r="I5" s="1" t="n">
        <v>1</v>
      </c>
      <c r="J5" s="1" t="n">
        <v>0</v>
      </c>
      <c r="K5" s="1" t="n">
        <v>0</v>
      </c>
      <c r="L5" s="1" t="n">
        <v>0</v>
      </c>
      <c r="M5" s="1" t="n">
        <v>0</v>
      </c>
    </row>
    <row r="6" customFormat="false" ht="15" hidden="false" customHeight="true" outlineLevel="0" collapsed="false">
      <c r="A6" s="1" t="s">
        <v>72</v>
      </c>
      <c r="B6" s="1" t="n">
        <v>0</v>
      </c>
      <c r="C6" s="1" t="n">
        <v>0</v>
      </c>
      <c r="D6" s="1" t="n">
        <v>0</v>
      </c>
      <c r="E6" s="1" t="n">
        <v>0</v>
      </c>
      <c r="F6" s="1" t="n">
        <v>1</v>
      </c>
      <c r="G6" s="1" t="n">
        <v>1</v>
      </c>
      <c r="H6" s="1" t="n">
        <v>1</v>
      </c>
      <c r="I6" s="1" t="n">
        <v>1</v>
      </c>
      <c r="J6" s="1" t="n">
        <v>0</v>
      </c>
      <c r="K6" s="1" t="n">
        <v>0</v>
      </c>
      <c r="L6" s="1" t="n">
        <v>0</v>
      </c>
      <c r="M6" s="1" t="n">
        <v>0</v>
      </c>
    </row>
    <row r="7" customFormat="false" ht="15" hidden="false" customHeight="true" outlineLevel="0" collapsed="false">
      <c r="A7" s="1" t="s">
        <v>75</v>
      </c>
      <c r="B7" s="1" t="n">
        <v>0</v>
      </c>
      <c r="C7" s="1" t="n">
        <v>0</v>
      </c>
      <c r="D7" s="1" t="n">
        <v>0</v>
      </c>
      <c r="E7" s="1" t="n">
        <v>0</v>
      </c>
      <c r="F7" s="1" t="n">
        <v>1</v>
      </c>
      <c r="G7" s="1" t="n">
        <v>0</v>
      </c>
      <c r="H7" s="1" t="n">
        <v>1</v>
      </c>
      <c r="I7" s="1" t="n">
        <v>1</v>
      </c>
      <c r="J7" s="1" t="n">
        <v>0</v>
      </c>
      <c r="K7" s="1" t="n">
        <v>0</v>
      </c>
      <c r="L7" s="1" t="n">
        <v>0</v>
      </c>
      <c r="M7" s="1" t="n">
        <v>0</v>
      </c>
    </row>
    <row r="8" customFormat="false" ht="15" hidden="false" customHeight="true" outlineLevel="0" collapsed="false">
      <c r="A8" s="1" t="s">
        <v>78</v>
      </c>
      <c r="B8" s="1" t="n">
        <v>0</v>
      </c>
      <c r="C8" s="1" t="n">
        <v>0</v>
      </c>
      <c r="D8" s="1" t="n">
        <v>0</v>
      </c>
      <c r="E8" s="1" t="n">
        <v>0</v>
      </c>
      <c r="F8" s="1" t="n">
        <v>0</v>
      </c>
      <c r="G8" s="1" t="n">
        <v>0</v>
      </c>
      <c r="H8" s="1" t="n">
        <v>1</v>
      </c>
      <c r="I8" s="1" t="n">
        <v>1</v>
      </c>
      <c r="J8" s="1" t="n">
        <v>0</v>
      </c>
      <c r="K8" s="1" t="n">
        <v>0</v>
      </c>
      <c r="L8" s="1" t="n">
        <v>0</v>
      </c>
      <c r="M8" s="1" t="n">
        <v>0</v>
      </c>
    </row>
    <row r="9" customFormat="false" ht="15" hidden="false" customHeight="true" outlineLevel="0" collapsed="false">
      <c r="A9" s="1" t="s">
        <v>82</v>
      </c>
      <c r="B9" s="1" t="n">
        <v>0</v>
      </c>
      <c r="C9" s="1" t="n">
        <v>0</v>
      </c>
      <c r="D9" s="1" t="n">
        <v>0</v>
      </c>
      <c r="E9" s="1" t="n">
        <v>0</v>
      </c>
      <c r="F9" s="1" t="n">
        <v>0</v>
      </c>
      <c r="G9" s="1" t="n">
        <v>0</v>
      </c>
      <c r="H9" s="1" t="n">
        <v>0</v>
      </c>
      <c r="I9" s="1" t="n">
        <v>1</v>
      </c>
      <c r="J9" s="1" t="n">
        <v>0</v>
      </c>
      <c r="K9" s="1" t="n">
        <v>0</v>
      </c>
      <c r="L9" s="1" t="n">
        <v>0</v>
      </c>
      <c r="M9" s="1" t="n">
        <v>0</v>
      </c>
    </row>
    <row r="10" customFormat="false" ht="15" hidden="false" customHeight="true" outlineLevel="0" collapsed="false">
      <c r="A10" s="1" t="s">
        <v>86</v>
      </c>
      <c r="B10" s="1" t="n">
        <v>0</v>
      </c>
      <c r="C10" s="1" t="n">
        <v>0</v>
      </c>
      <c r="D10" s="1" t="n">
        <v>0</v>
      </c>
      <c r="E10" s="1" t="n">
        <v>0</v>
      </c>
      <c r="F10" s="1" t="n">
        <v>1</v>
      </c>
      <c r="G10" s="1" t="n">
        <v>0</v>
      </c>
      <c r="H10" s="1" t="n">
        <v>0</v>
      </c>
      <c r="I10" s="1" t="n">
        <v>1</v>
      </c>
      <c r="J10" s="1" t="n">
        <v>0</v>
      </c>
      <c r="K10" s="1" t="n">
        <v>0</v>
      </c>
      <c r="L10" s="1" t="n">
        <v>0</v>
      </c>
      <c r="M10" s="1" t="n">
        <v>0</v>
      </c>
    </row>
    <row r="11" customFormat="false" ht="15" hidden="false" customHeight="true" outlineLevel="0" collapsed="false">
      <c r="A11" s="1" t="s">
        <v>90</v>
      </c>
      <c r="B11" s="1" t="n">
        <v>0</v>
      </c>
      <c r="C11" s="1" t="n">
        <v>0</v>
      </c>
      <c r="D11" s="1" t="n">
        <v>0</v>
      </c>
      <c r="E11" s="1" t="n">
        <v>0</v>
      </c>
      <c r="F11" s="1" t="n">
        <v>0</v>
      </c>
      <c r="G11" s="1" t="n">
        <v>0</v>
      </c>
      <c r="H11" s="1" t="n">
        <v>0</v>
      </c>
      <c r="I11" s="1" t="n">
        <v>1</v>
      </c>
      <c r="J11" s="1" t="n">
        <v>0</v>
      </c>
      <c r="K11" s="1" t="n">
        <v>0</v>
      </c>
      <c r="L11" s="1" t="n">
        <v>0</v>
      </c>
      <c r="M11" s="1" t="n">
        <v>0</v>
      </c>
    </row>
    <row r="12" customFormat="false" ht="15" hidden="false" customHeight="true" outlineLevel="0" collapsed="false">
      <c r="A12" s="1" t="s">
        <v>94</v>
      </c>
      <c r="B12" s="1" t="n">
        <v>0</v>
      </c>
      <c r="C12" s="1" t="n">
        <v>0</v>
      </c>
      <c r="D12" s="1" t="n">
        <v>0</v>
      </c>
      <c r="E12" s="1" t="n">
        <v>0</v>
      </c>
      <c r="F12" s="1" t="n">
        <v>1</v>
      </c>
      <c r="G12" s="1" t="n">
        <v>1</v>
      </c>
      <c r="H12" s="1" t="n">
        <v>0</v>
      </c>
      <c r="I12" s="1" t="n">
        <v>0</v>
      </c>
      <c r="J12" s="1" t="n">
        <v>0</v>
      </c>
      <c r="K12" s="1" t="n">
        <v>0</v>
      </c>
      <c r="L12" s="1" t="n">
        <v>0</v>
      </c>
      <c r="M12" s="1" t="n">
        <v>0</v>
      </c>
    </row>
    <row r="13" customFormat="false" ht="15" hidden="false" customHeight="true" outlineLevel="0" collapsed="false">
      <c r="A13" s="1" t="s">
        <v>97</v>
      </c>
      <c r="B13" s="1" t="n">
        <v>0</v>
      </c>
      <c r="C13" s="1" t="n">
        <v>0</v>
      </c>
      <c r="D13" s="1" t="n">
        <v>0</v>
      </c>
      <c r="E13" s="1" t="n">
        <v>0</v>
      </c>
      <c r="F13" s="1" t="n">
        <v>0</v>
      </c>
      <c r="G13" s="1" t="n">
        <v>1</v>
      </c>
      <c r="H13" s="1" t="n">
        <v>0</v>
      </c>
      <c r="I13" s="1" t="n">
        <v>0</v>
      </c>
      <c r="J13" s="1" t="n">
        <v>0</v>
      </c>
      <c r="K13" s="1" t="n">
        <v>0</v>
      </c>
      <c r="L13" s="1" t="n">
        <v>0</v>
      </c>
      <c r="M13" s="1" t="n">
        <v>0</v>
      </c>
    </row>
    <row r="14" customFormat="false" ht="15" hidden="false" customHeight="true" outlineLevel="0" collapsed="false">
      <c r="A14" s="1" t="s">
        <v>101</v>
      </c>
      <c r="B14" s="1" t="n">
        <v>0</v>
      </c>
      <c r="C14" s="1" t="n">
        <v>0</v>
      </c>
      <c r="D14" s="1" t="n">
        <v>0</v>
      </c>
      <c r="E14" s="1" t="n">
        <v>0</v>
      </c>
      <c r="F14" s="1" t="n">
        <v>0</v>
      </c>
      <c r="G14" s="1" t="n">
        <v>1</v>
      </c>
      <c r="H14" s="1" t="n">
        <v>0</v>
      </c>
      <c r="I14" s="1" t="n">
        <v>0</v>
      </c>
      <c r="J14" s="1" t="n">
        <v>0</v>
      </c>
      <c r="K14" s="1" t="n">
        <v>0</v>
      </c>
      <c r="L14" s="1" t="n">
        <v>0</v>
      </c>
      <c r="M14" s="1" t="n">
        <v>0</v>
      </c>
    </row>
    <row r="15" customFormat="false" ht="15" hidden="false" customHeight="true" outlineLevel="0" collapsed="false">
      <c r="A15" s="1" t="s">
        <v>105</v>
      </c>
      <c r="B15" s="1" t="n">
        <v>0</v>
      </c>
      <c r="C15" s="1" t="n">
        <v>0</v>
      </c>
      <c r="D15" s="1" t="n">
        <v>0</v>
      </c>
      <c r="E15" s="1" t="n">
        <v>0</v>
      </c>
      <c r="F15" s="1" t="n">
        <v>1</v>
      </c>
      <c r="G15" s="1" t="n">
        <v>1</v>
      </c>
      <c r="H15" s="1" t="n">
        <v>0</v>
      </c>
      <c r="I15" s="1" t="n">
        <v>0</v>
      </c>
      <c r="J15" s="1" t="n">
        <v>0</v>
      </c>
      <c r="K15" s="1" t="n">
        <v>0</v>
      </c>
      <c r="L15" s="1" t="n">
        <v>0</v>
      </c>
      <c r="M15" s="1" t="n">
        <v>0</v>
      </c>
    </row>
    <row r="16" customFormat="false" ht="15" hidden="false" customHeight="true" outlineLevel="0" collapsed="false">
      <c r="A16" s="1" t="s">
        <v>109</v>
      </c>
      <c r="B16" s="1" t="n">
        <v>1</v>
      </c>
      <c r="C16" s="1" t="n">
        <v>1</v>
      </c>
      <c r="D16" s="1" t="n">
        <v>0</v>
      </c>
      <c r="E16" s="1" t="n">
        <v>0</v>
      </c>
      <c r="F16" s="1" t="n">
        <v>0</v>
      </c>
      <c r="G16" s="1" t="n">
        <v>1</v>
      </c>
      <c r="H16" s="1" t="n">
        <v>1</v>
      </c>
      <c r="I16" s="1" t="n">
        <v>0</v>
      </c>
      <c r="J16" s="1" t="n">
        <v>0</v>
      </c>
      <c r="K16" s="1" t="n">
        <v>0</v>
      </c>
      <c r="L16" s="1" t="n">
        <v>0</v>
      </c>
      <c r="M16" s="1" t="n">
        <v>0</v>
      </c>
    </row>
    <row r="17" customFormat="false" ht="15" hidden="false" customHeight="true" outlineLevel="0" collapsed="false">
      <c r="A17" s="1" t="s">
        <v>112</v>
      </c>
      <c r="B17" s="1" t="n">
        <v>1</v>
      </c>
      <c r="C17" s="1" t="n">
        <v>1</v>
      </c>
      <c r="D17" s="1" t="n">
        <v>0</v>
      </c>
      <c r="E17" s="1" t="n">
        <v>0</v>
      </c>
      <c r="F17" s="1" t="n">
        <v>0</v>
      </c>
      <c r="G17" s="1" t="n">
        <v>0</v>
      </c>
      <c r="H17" s="1" t="n">
        <v>1</v>
      </c>
      <c r="I17" s="1" t="n">
        <v>0</v>
      </c>
      <c r="J17" s="1" t="n">
        <v>0</v>
      </c>
      <c r="K17" s="1" t="n">
        <v>0</v>
      </c>
      <c r="L17" s="1" t="n">
        <v>0</v>
      </c>
      <c r="M17" s="1" t="n">
        <v>0</v>
      </c>
    </row>
    <row r="18" customFormat="false" ht="15" hidden="false" customHeight="true" outlineLevel="0" collapsed="false">
      <c r="A18" s="1" t="s">
        <v>115</v>
      </c>
      <c r="B18" s="1" t="n">
        <v>1</v>
      </c>
      <c r="C18" s="1" t="n">
        <v>1</v>
      </c>
      <c r="D18" s="1" t="n">
        <v>0</v>
      </c>
      <c r="E18" s="1" t="n">
        <v>0</v>
      </c>
      <c r="F18" s="1" t="n">
        <v>0</v>
      </c>
      <c r="G18" s="1" t="n">
        <v>0</v>
      </c>
      <c r="H18" s="1" t="n">
        <v>1</v>
      </c>
      <c r="I18" s="1" t="n">
        <v>0</v>
      </c>
      <c r="J18" s="1" t="n">
        <v>0</v>
      </c>
      <c r="K18" s="1" t="n">
        <v>0</v>
      </c>
      <c r="L18" s="1" t="n">
        <v>0</v>
      </c>
      <c r="M18" s="1" t="n">
        <v>0</v>
      </c>
    </row>
    <row r="19" customFormat="false" ht="15" hidden="false" customHeight="true" outlineLevel="0" collapsed="false">
      <c r="A19" s="1" t="s">
        <v>119</v>
      </c>
      <c r="B19" s="1" t="n">
        <v>1</v>
      </c>
      <c r="C19" s="1" t="n">
        <v>1</v>
      </c>
      <c r="D19" s="1" t="n">
        <v>0</v>
      </c>
      <c r="E19" s="1" t="n">
        <v>0</v>
      </c>
      <c r="F19" s="1" t="n">
        <v>0</v>
      </c>
      <c r="G19" s="1" t="n">
        <v>0</v>
      </c>
      <c r="H19" s="1" t="n">
        <v>0</v>
      </c>
      <c r="I19" s="1" t="n">
        <v>0</v>
      </c>
      <c r="J19" s="1" t="n">
        <v>0</v>
      </c>
      <c r="K19" s="1" t="n">
        <v>0</v>
      </c>
      <c r="L19" s="1" t="n">
        <v>0</v>
      </c>
      <c r="M19" s="1" t="n">
        <v>0</v>
      </c>
    </row>
    <row r="20" customFormat="false" ht="15" hidden="false" customHeight="true" outlineLevel="0" collapsed="false">
      <c r="A20" s="1" t="s">
        <v>123</v>
      </c>
      <c r="B20" s="1" t="n">
        <v>1</v>
      </c>
      <c r="C20" s="1" t="n">
        <v>0</v>
      </c>
      <c r="D20" s="1" t="n">
        <v>0</v>
      </c>
      <c r="E20" s="1" t="n">
        <v>0</v>
      </c>
      <c r="F20" s="1" t="n">
        <v>0</v>
      </c>
      <c r="G20" s="1" t="n">
        <v>0</v>
      </c>
      <c r="H20" s="1" t="n">
        <v>0</v>
      </c>
      <c r="I20" s="1" t="n">
        <v>0</v>
      </c>
      <c r="J20" s="1" t="n">
        <v>0</v>
      </c>
      <c r="K20" s="1" t="n">
        <v>0</v>
      </c>
      <c r="L20" s="1" t="n">
        <v>0</v>
      </c>
      <c r="M20" s="1" t="n">
        <v>0</v>
      </c>
    </row>
    <row r="21" customFormat="false" ht="15" hidden="false" customHeight="true" outlineLevel="0" collapsed="false">
      <c r="A21" s="1" t="s">
        <v>127</v>
      </c>
      <c r="B21" s="1" t="n">
        <v>1</v>
      </c>
      <c r="C21" s="1" t="n">
        <v>0</v>
      </c>
      <c r="D21" s="1" t="n">
        <v>0</v>
      </c>
      <c r="E21" s="1" t="n">
        <v>0</v>
      </c>
      <c r="F21" s="1" t="n">
        <v>0</v>
      </c>
      <c r="G21" s="1" t="n">
        <v>1</v>
      </c>
      <c r="H21" s="1" t="n">
        <v>1</v>
      </c>
      <c r="I21" s="1" t="n">
        <v>0</v>
      </c>
      <c r="J21" s="1" t="n">
        <v>0</v>
      </c>
      <c r="K21" s="1" t="n">
        <v>0</v>
      </c>
      <c r="L21" s="1" t="n">
        <v>0</v>
      </c>
      <c r="M21" s="1" t="n">
        <v>0</v>
      </c>
    </row>
    <row r="22" customFormat="false" ht="15" hidden="false" customHeight="true" outlineLevel="0" collapsed="false">
      <c r="A22" s="1" t="s">
        <v>130</v>
      </c>
      <c r="B22" s="1" t="n">
        <v>1</v>
      </c>
      <c r="C22" s="1" t="n">
        <v>0</v>
      </c>
      <c r="D22" s="1" t="n">
        <v>0</v>
      </c>
      <c r="E22" s="1" t="n">
        <v>0</v>
      </c>
      <c r="F22" s="1" t="n">
        <v>0</v>
      </c>
      <c r="G22" s="1" t="n">
        <v>1</v>
      </c>
      <c r="H22" s="1" t="n">
        <v>0</v>
      </c>
      <c r="I22" s="1" t="n">
        <v>0</v>
      </c>
      <c r="J22" s="1" t="n">
        <v>0</v>
      </c>
      <c r="K22" s="1" t="n">
        <v>0</v>
      </c>
      <c r="L22" s="1" t="n">
        <v>0</v>
      </c>
      <c r="M22" s="1" t="n">
        <v>0</v>
      </c>
    </row>
    <row r="23" customFormat="false" ht="15" hidden="false" customHeight="true" outlineLevel="0" collapsed="false">
      <c r="A23" s="1" t="s">
        <v>134</v>
      </c>
      <c r="B23" s="1" t="n">
        <v>0</v>
      </c>
      <c r="C23" s="1" t="n">
        <v>0</v>
      </c>
      <c r="D23" s="1" t="n">
        <v>0</v>
      </c>
      <c r="E23" s="1" t="n">
        <v>0</v>
      </c>
      <c r="F23" s="1" t="n">
        <v>0</v>
      </c>
      <c r="G23" s="1" t="n">
        <v>1</v>
      </c>
      <c r="H23" s="1" t="n">
        <v>1</v>
      </c>
      <c r="I23" s="1" t="n">
        <v>0</v>
      </c>
      <c r="J23" s="1" t="n">
        <v>0</v>
      </c>
      <c r="K23" s="1" t="n">
        <v>0</v>
      </c>
      <c r="L23" s="1" t="n">
        <v>0</v>
      </c>
      <c r="M23" s="1" t="n">
        <v>0</v>
      </c>
    </row>
    <row r="24" customFormat="false" ht="15" hidden="false" customHeight="true" outlineLevel="0" collapsed="false">
      <c r="A24" s="1" t="s">
        <v>138</v>
      </c>
      <c r="B24" s="1" t="n">
        <v>1</v>
      </c>
      <c r="C24" s="1" t="n">
        <v>1</v>
      </c>
      <c r="D24" s="1" t="n">
        <v>1</v>
      </c>
      <c r="E24" s="1" t="n">
        <v>1</v>
      </c>
      <c r="F24" s="1" t="n">
        <v>1</v>
      </c>
      <c r="G24" s="1" t="n">
        <v>1</v>
      </c>
      <c r="H24" s="1" t="n">
        <v>1</v>
      </c>
      <c r="I24" s="1" t="n">
        <v>1</v>
      </c>
      <c r="J24" s="1" t="n">
        <v>0</v>
      </c>
      <c r="K24" s="1" t="n">
        <v>0</v>
      </c>
      <c r="L24" s="1" t="n">
        <v>0</v>
      </c>
      <c r="M24" s="1" t="n">
        <v>0</v>
      </c>
    </row>
    <row r="25" customFormat="false" ht="15" hidden="false" customHeight="true" outlineLevel="0" collapsed="false">
      <c r="A25" s="1" t="s">
        <v>141</v>
      </c>
      <c r="B25" s="1" t="n">
        <v>1</v>
      </c>
      <c r="C25" s="1" t="n">
        <v>0</v>
      </c>
      <c r="D25" s="1" t="n">
        <v>0</v>
      </c>
      <c r="E25" s="1" t="n">
        <v>0</v>
      </c>
      <c r="F25" s="1" t="n">
        <v>0</v>
      </c>
      <c r="G25" s="1" t="n">
        <v>0</v>
      </c>
      <c r="H25" s="1" t="n">
        <v>1</v>
      </c>
      <c r="I25" s="1" t="n">
        <v>1</v>
      </c>
      <c r="J25" s="1" t="n">
        <v>0</v>
      </c>
      <c r="K25" s="1" t="n">
        <v>0</v>
      </c>
      <c r="L25" s="1" t="n">
        <v>0</v>
      </c>
      <c r="M25" s="1" t="n">
        <v>0</v>
      </c>
    </row>
    <row r="26" customFormat="false" ht="15" hidden="false" customHeight="true" outlineLevel="0" collapsed="false">
      <c r="A26" s="1" t="s">
        <v>144</v>
      </c>
      <c r="B26" s="1" t="n">
        <v>1</v>
      </c>
      <c r="C26" s="1" t="n">
        <v>0</v>
      </c>
      <c r="D26" s="1" t="n">
        <v>0</v>
      </c>
      <c r="E26" s="1" t="n">
        <v>0</v>
      </c>
      <c r="F26" s="1" t="n">
        <v>0</v>
      </c>
      <c r="G26" s="1" t="n">
        <v>0</v>
      </c>
      <c r="H26" s="1" t="n">
        <v>1</v>
      </c>
      <c r="I26" s="1" t="n">
        <v>1</v>
      </c>
      <c r="J26" s="1" t="n">
        <v>0</v>
      </c>
      <c r="K26" s="1" t="n">
        <v>0</v>
      </c>
      <c r="L26" s="1" t="n">
        <v>0</v>
      </c>
      <c r="M26" s="1" t="n">
        <v>0</v>
      </c>
    </row>
    <row r="27" customFormat="false" ht="15" hidden="false" customHeight="true" outlineLevel="0" collapsed="false">
      <c r="A27" s="1" t="s">
        <v>148</v>
      </c>
      <c r="B27" s="1" t="n">
        <v>1</v>
      </c>
      <c r="C27" s="1" t="n">
        <v>0</v>
      </c>
      <c r="D27" s="1" t="n">
        <v>0</v>
      </c>
      <c r="E27" s="1" t="n">
        <v>0</v>
      </c>
      <c r="F27" s="1" t="n">
        <v>0</v>
      </c>
      <c r="G27" s="1" t="n">
        <v>0</v>
      </c>
      <c r="H27" s="1" t="n">
        <v>1</v>
      </c>
      <c r="I27" s="1" t="n">
        <v>1</v>
      </c>
      <c r="J27" s="1" t="n">
        <v>0</v>
      </c>
      <c r="K27" s="1" t="n">
        <v>0</v>
      </c>
      <c r="L27" s="1" t="n">
        <v>0</v>
      </c>
      <c r="M27" s="1" t="n">
        <v>0</v>
      </c>
    </row>
    <row r="28" customFormat="false" ht="15" hidden="false" customHeight="true" outlineLevel="0" collapsed="false">
      <c r="A28" s="1" t="s">
        <v>152</v>
      </c>
      <c r="B28" s="1" t="n">
        <v>0</v>
      </c>
      <c r="C28" s="1" t="n">
        <v>0</v>
      </c>
      <c r="D28" s="1" t="n">
        <v>0</v>
      </c>
      <c r="E28" s="1" t="n">
        <v>0</v>
      </c>
      <c r="F28" s="1" t="n">
        <v>0</v>
      </c>
      <c r="G28" s="1" t="n">
        <v>0</v>
      </c>
      <c r="H28" s="1" t="n">
        <v>1</v>
      </c>
      <c r="I28" s="1" t="n">
        <v>1</v>
      </c>
      <c r="J28" s="1" t="n">
        <v>0</v>
      </c>
      <c r="K28" s="1" t="n">
        <v>0</v>
      </c>
      <c r="L28" s="1" t="n">
        <v>0</v>
      </c>
      <c r="M28" s="1" t="n">
        <v>0</v>
      </c>
    </row>
    <row r="29" customFormat="false" ht="15" hidden="false" customHeight="true" outlineLevel="0" collapsed="false">
      <c r="A29" s="1" t="s">
        <v>155</v>
      </c>
      <c r="B29" s="1" t="n">
        <v>1</v>
      </c>
      <c r="C29" s="1" t="n">
        <v>1</v>
      </c>
      <c r="D29" s="1" t="n">
        <v>0</v>
      </c>
      <c r="E29" s="1" t="n">
        <v>0</v>
      </c>
      <c r="F29" s="1" t="n">
        <v>0</v>
      </c>
      <c r="G29" s="1" t="n">
        <v>1</v>
      </c>
      <c r="H29" s="1" t="n">
        <v>1</v>
      </c>
      <c r="I29" s="1" t="n">
        <v>1</v>
      </c>
      <c r="J29" s="1" t="n">
        <v>0</v>
      </c>
      <c r="K29" s="1" t="n">
        <v>0</v>
      </c>
      <c r="L29" s="1" t="n">
        <v>0</v>
      </c>
      <c r="M29" s="1" t="n">
        <v>0</v>
      </c>
    </row>
    <row r="30" customFormat="false" ht="15" hidden="false" customHeight="true" outlineLevel="0" collapsed="false">
      <c r="A30" s="1" t="s">
        <v>158</v>
      </c>
      <c r="B30" s="1" t="n">
        <v>1</v>
      </c>
      <c r="C30" s="1" t="n">
        <v>0</v>
      </c>
      <c r="D30" s="1" t="n">
        <v>0</v>
      </c>
      <c r="E30" s="1" t="n">
        <v>0</v>
      </c>
      <c r="F30" s="1" t="n">
        <v>0</v>
      </c>
      <c r="G30" s="1" t="n">
        <v>0</v>
      </c>
      <c r="H30" s="1" t="n">
        <v>1</v>
      </c>
      <c r="I30" s="1" t="n">
        <v>1</v>
      </c>
      <c r="J30" s="1" t="n">
        <v>0</v>
      </c>
      <c r="K30" s="1" t="n">
        <v>0</v>
      </c>
      <c r="L30" s="1" t="n">
        <v>0</v>
      </c>
      <c r="M30" s="1" t="n">
        <v>0</v>
      </c>
    </row>
    <row r="31" customFormat="false" ht="15" hidden="false" customHeight="true" outlineLevel="0" collapsed="false">
      <c r="A31" s="1" t="s">
        <v>162</v>
      </c>
      <c r="B31" s="1" t="n">
        <v>1</v>
      </c>
      <c r="C31" s="1" t="n">
        <v>1</v>
      </c>
      <c r="D31" s="1" t="n">
        <v>0</v>
      </c>
      <c r="E31" s="1" t="n">
        <v>0</v>
      </c>
      <c r="F31" s="1" t="n">
        <v>0</v>
      </c>
      <c r="G31" s="1" t="n">
        <v>0</v>
      </c>
      <c r="H31" s="1" t="n">
        <v>0</v>
      </c>
      <c r="I31" s="1" t="n">
        <v>1</v>
      </c>
      <c r="J31" s="1" t="n">
        <v>0</v>
      </c>
      <c r="K31" s="1" t="n">
        <v>0</v>
      </c>
      <c r="L31" s="1" t="n">
        <v>0</v>
      </c>
      <c r="M31" s="1" t="n">
        <v>0</v>
      </c>
    </row>
    <row r="32" customFormat="false" ht="15" hidden="false" customHeight="true" outlineLevel="0" collapsed="false">
      <c r="A32" s="1" t="s">
        <v>166</v>
      </c>
      <c r="B32" s="1" t="n">
        <v>1</v>
      </c>
      <c r="C32" s="1" t="n">
        <v>0</v>
      </c>
      <c r="D32" s="1" t="n">
        <v>0</v>
      </c>
      <c r="E32" s="1" t="n">
        <v>0</v>
      </c>
      <c r="F32" s="1" t="n">
        <v>0</v>
      </c>
      <c r="G32" s="1" t="n">
        <v>0</v>
      </c>
      <c r="H32" s="1" t="n">
        <v>1</v>
      </c>
      <c r="I32" s="1" t="n">
        <v>1</v>
      </c>
      <c r="J32" s="1" t="n">
        <v>0</v>
      </c>
      <c r="K32" s="1" t="n">
        <v>0</v>
      </c>
      <c r="L32" s="1" t="n">
        <v>0</v>
      </c>
      <c r="M32" s="1" t="n">
        <v>0</v>
      </c>
    </row>
    <row r="33" customFormat="false" ht="15" hidden="false" customHeight="true" outlineLevel="0" collapsed="false">
      <c r="A33" s="1" t="s">
        <v>170</v>
      </c>
      <c r="B33" s="1" t="n">
        <v>1</v>
      </c>
      <c r="C33" s="1" t="n">
        <v>0</v>
      </c>
      <c r="D33" s="1" t="n">
        <v>0</v>
      </c>
      <c r="E33" s="1" t="n">
        <v>0</v>
      </c>
      <c r="F33" s="1" t="n">
        <v>0</v>
      </c>
      <c r="G33" s="1" t="n">
        <v>0</v>
      </c>
      <c r="H33" s="1" t="n">
        <v>0</v>
      </c>
      <c r="I33" s="1" t="n">
        <v>1</v>
      </c>
      <c r="J33" s="1" t="n">
        <v>0</v>
      </c>
      <c r="K33" s="1" t="n">
        <v>0</v>
      </c>
      <c r="L33" s="1" t="n">
        <v>0</v>
      </c>
      <c r="M33" s="1" t="n">
        <v>0</v>
      </c>
    </row>
    <row r="34" customFormat="false" ht="15" hidden="false" customHeight="true" outlineLevel="0" collapsed="false">
      <c r="A34" s="1" t="s">
        <v>174</v>
      </c>
      <c r="B34" s="1" t="n">
        <v>1</v>
      </c>
      <c r="C34" s="1" t="n">
        <v>0</v>
      </c>
      <c r="D34" s="1" t="n">
        <v>0</v>
      </c>
      <c r="E34" s="1" t="n">
        <v>0</v>
      </c>
      <c r="F34" s="1" t="n">
        <v>0</v>
      </c>
      <c r="G34" s="1" t="n">
        <v>0</v>
      </c>
      <c r="H34" s="1" t="n">
        <v>0</v>
      </c>
      <c r="I34" s="1" t="n">
        <v>1</v>
      </c>
      <c r="J34" s="1" t="n">
        <v>0</v>
      </c>
      <c r="K34" s="1" t="n">
        <v>0</v>
      </c>
      <c r="L34" s="1" t="n">
        <v>0</v>
      </c>
      <c r="M34" s="1" t="n">
        <v>0</v>
      </c>
    </row>
    <row r="35" customFormat="false" ht="15" hidden="false" customHeight="true" outlineLevel="0" collapsed="false">
      <c r="A35" s="1" t="s">
        <v>178</v>
      </c>
      <c r="B35" s="1" t="n">
        <v>1</v>
      </c>
      <c r="C35" s="1" t="n">
        <v>0</v>
      </c>
      <c r="D35" s="1" t="n">
        <v>0</v>
      </c>
      <c r="E35" s="1" t="n">
        <v>0</v>
      </c>
      <c r="F35" s="1" t="n">
        <v>0</v>
      </c>
      <c r="G35" s="1" t="n">
        <v>0</v>
      </c>
      <c r="H35" s="1" t="n">
        <v>0</v>
      </c>
      <c r="I35" s="1" t="n">
        <v>1</v>
      </c>
      <c r="J35" s="1" t="n">
        <v>0</v>
      </c>
      <c r="K35" s="1" t="n">
        <v>0</v>
      </c>
      <c r="L35" s="1" t="n">
        <v>0</v>
      </c>
      <c r="M35" s="1" t="n">
        <v>0</v>
      </c>
    </row>
    <row r="36" customFormat="false" ht="15" hidden="false" customHeight="true" outlineLevel="0" collapsed="false">
      <c r="A36" s="1" t="s">
        <v>182</v>
      </c>
      <c r="B36" s="1" t="n">
        <v>1</v>
      </c>
      <c r="C36" s="1" t="n">
        <v>0</v>
      </c>
      <c r="D36" s="1" t="n">
        <v>0</v>
      </c>
      <c r="E36" s="1" t="n">
        <v>0</v>
      </c>
      <c r="F36" s="1" t="n">
        <v>0</v>
      </c>
      <c r="G36" s="1" t="n">
        <v>0</v>
      </c>
      <c r="H36" s="1" t="n">
        <v>1</v>
      </c>
      <c r="I36" s="1" t="n">
        <v>1</v>
      </c>
      <c r="J36" s="1" t="n">
        <v>0</v>
      </c>
      <c r="K36" s="1" t="n">
        <v>0</v>
      </c>
      <c r="L36" s="1" t="n">
        <v>0</v>
      </c>
      <c r="M36" s="1" t="n">
        <v>0</v>
      </c>
    </row>
    <row r="37" customFormat="false" ht="15" hidden="false" customHeight="true" outlineLevel="0" collapsed="false">
      <c r="A37" s="1" t="s">
        <v>186</v>
      </c>
      <c r="B37" s="1" t="n">
        <v>0</v>
      </c>
      <c r="C37" s="1" t="n">
        <v>0</v>
      </c>
      <c r="D37" s="1" t="n">
        <v>0</v>
      </c>
      <c r="E37" s="1" t="n">
        <v>0</v>
      </c>
      <c r="F37" s="1" t="n">
        <v>0</v>
      </c>
      <c r="G37" s="1" t="n">
        <v>1</v>
      </c>
      <c r="H37" s="1" t="n">
        <v>0</v>
      </c>
      <c r="I37" s="1" t="n">
        <v>1</v>
      </c>
      <c r="J37" s="1" t="n">
        <v>0</v>
      </c>
      <c r="K37" s="1" t="n">
        <v>0</v>
      </c>
      <c r="L37" s="1" t="n">
        <v>0</v>
      </c>
      <c r="M37" s="1" t="n">
        <v>0</v>
      </c>
    </row>
    <row r="38" customFormat="false" ht="15" hidden="false" customHeight="true" outlineLevel="0" collapsed="false">
      <c r="A38" s="1" t="s">
        <v>191</v>
      </c>
      <c r="B38" s="1" t="n">
        <v>0</v>
      </c>
      <c r="C38" s="1" t="n">
        <v>0</v>
      </c>
      <c r="D38" s="1" t="n">
        <v>0</v>
      </c>
      <c r="E38" s="1" t="n">
        <v>0</v>
      </c>
      <c r="F38" s="1" t="n">
        <v>0</v>
      </c>
      <c r="G38" s="1" t="n">
        <v>1</v>
      </c>
      <c r="H38" s="1" t="n">
        <v>0</v>
      </c>
      <c r="I38" s="1" t="n">
        <v>0</v>
      </c>
      <c r="J38" s="1" t="n">
        <v>0</v>
      </c>
      <c r="K38" s="1" t="n">
        <v>0</v>
      </c>
      <c r="L38" s="1" t="n">
        <v>0</v>
      </c>
      <c r="M38" s="1" t="n">
        <v>0</v>
      </c>
    </row>
    <row r="39" customFormat="false" ht="15" hidden="false" customHeight="true" outlineLevel="0" collapsed="false">
      <c r="A39" s="1" t="s">
        <v>194</v>
      </c>
      <c r="B39" s="1" t="n">
        <v>0</v>
      </c>
      <c r="C39" s="1" t="n">
        <v>0</v>
      </c>
      <c r="D39" s="1" t="n">
        <v>0</v>
      </c>
      <c r="E39" s="1" t="n">
        <v>0</v>
      </c>
      <c r="F39" s="1" t="n">
        <v>0</v>
      </c>
      <c r="G39" s="1" t="n">
        <v>1</v>
      </c>
      <c r="H39" s="1" t="n">
        <v>0</v>
      </c>
      <c r="I39" s="1" t="n">
        <v>0</v>
      </c>
      <c r="J39" s="1" t="n">
        <v>0</v>
      </c>
      <c r="K39" s="1" t="n">
        <v>0</v>
      </c>
      <c r="L39" s="1" t="n">
        <v>0</v>
      </c>
      <c r="M39" s="1" t="n">
        <v>0</v>
      </c>
    </row>
    <row r="40" customFormat="false" ht="15" hidden="false" customHeight="true" outlineLevel="0" collapsed="false">
      <c r="A40" s="1" t="s">
        <v>198</v>
      </c>
      <c r="B40" s="1" t="n">
        <v>1</v>
      </c>
      <c r="C40" s="1" t="n">
        <v>1</v>
      </c>
      <c r="D40" s="1" t="n">
        <v>0</v>
      </c>
      <c r="E40" s="1" t="n">
        <v>1</v>
      </c>
      <c r="F40" s="1" t="n">
        <v>1</v>
      </c>
      <c r="G40" s="1" t="n">
        <v>0</v>
      </c>
      <c r="H40" s="1" t="n">
        <v>0</v>
      </c>
      <c r="I40" s="1" t="n">
        <v>0</v>
      </c>
      <c r="J40" s="1" t="n">
        <v>0</v>
      </c>
      <c r="K40" s="1" t="n">
        <v>0</v>
      </c>
      <c r="L40" s="1" t="n">
        <v>0</v>
      </c>
      <c r="M40" s="1" t="n">
        <v>0</v>
      </c>
    </row>
    <row r="41" customFormat="false" ht="15" hidden="false" customHeight="true" outlineLevel="0" collapsed="false">
      <c r="A41" s="1" t="s">
        <v>201</v>
      </c>
      <c r="B41" s="1" t="n">
        <v>0</v>
      </c>
      <c r="C41" s="1" t="n">
        <v>1</v>
      </c>
      <c r="D41" s="1" t="n">
        <v>0</v>
      </c>
      <c r="E41" s="1" t="n">
        <v>1</v>
      </c>
      <c r="F41" s="1" t="n">
        <v>1</v>
      </c>
      <c r="G41" s="1" t="n">
        <v>0</v>
      </c>
      <c r="H41" s="1" t="n">
        <v>0</v>
      </c>
      <c r="I41" s="1" t="n">
        <v>0</v>
      </c>
      <c r="J41" s="1" t="n">
        <v>0</v>
      </c>
      <c r="K41" s="1" t="n">
        <v>0</v>
      </c>
      <c r="L41" s="1" t="n">
        <v>0</v>
      </c>
      <c r="M41" s="1" t="n">
        <v>0</v>
      </c>
    </row>
    <row r="42" customFormat="false" ht="15" hidden="false" customHeight="true" outlineLevel="0" collapsed="false">
      <c r="A42" s="1" t="s">
        <v>205</v>
      </c>
      <c r="B42" s="1" t="n">
        <v>0</v>
      </c>
      <c r="C42" s="1" t="n">
        <v>1</v>
      </c>
      <c r="D42" s="1" t="n">
        <v>0</v>
      </c>
      <c r="E42" s="1" t="n">
        <v>1</v>
      </c>
      <c r="F42" s="1" t="n">
        <v>1</v>
      </c>
      <c r="G42" s="1" t="n">
        <v>0</v>
      </c>
      <c r="H42" s="1" t="n">
        <v>0</v>
      </c>
      <c r="I42" s="1" t="n">
        <v>0</v>
      </c>
      <c r="J42" s="1" t="n">
        <v>0</v>
      </c>
      <c r="K42" s="1" t="n">
        <v>0</v>
      </c>
      <c r="L42" s="1" t="n">
        <v>0</v>
      </c>
      <c r="M42" s="1" t="n">
        <v>0</v>
      </c>
    </row>
    <row r="43" customFormat="false" ht="15" hidden="false" customHeight="true" outlineLevel="0" collapsed="false">
      <c r="A43" s="1" t="s">
        <v>209</v>
      </c>
      <c r="B43" s="1" t="n">
        <v>0</v>
      </c>
      <c r="C43" s="1" t="n">
        <v>0</v>
      </c>
      <c r="D43" s="1" t="n">
        <v>0</v>
      </c>
      <c r="E43" s="1" t="n">
        <v>1</v>
      </c>
      <c r="F43" s="1" t="n">
        <v>0</v>
      </c>
      <c r="G43" s="1" t="n">
        <v>0</v>
      </c>
      <c r="H43" s="1" t="n">
        <v>0</v>
      </c>
      <c r="I43" s="1" t="n">
        <v>0</v>
      </c>
      <c r="J43" s="1" t="n">
        <v>0</v>
      </c>
      <c r="K43" s="1" t="n">
        <v>0</v>
      </c>
      <c r="L43" s="1" t="n">
        <v>0</v>
      </c>
      <c r="M43" s="1" t="n">
        <v>0</v>
      </c>
    </row>
    <row r="44" customFormat="false" ht="15" hidden="false" customHeight="true" outlineLevel="0" collapsed="false">
      <c r="A44" s="1" t="s">
        <v>213</v>
      </c>
      <c r="B44" s="1" t="n">
        <v>0</v>
      </c>
      <c r="C44" s="1" t="n">
        <v>0</v>
      </c>
      <c r="D44" s="1" t="n">
        <v>0</v>
      </c>
      <c r="E44" s="1" t="n">
        <v>0</v>
      </c>
      <c r="F44" s="1" t="n">
        <v>1</v>
      </c>
      <c r="G44" s="1" t="n">
        <v>0</v>
      </c>
      <c r="H44" s="1" t="n">
        <v>0</v>
      </c>
      <c r="I44" s="1" t="n">
        <v>0</v>
      </c>
      <c r="J44" s="1" t="n">
        <v>0</v>
      </c>
      <c r="K44" s="1" t="n">
        <v>0</v>
      </c>
      <c r="L44" s="1" t="n">
        <v>0</v>
      </c>
      <c r="M44" s="1" t="n">
        <v>0</v>
      </c>
    </row>
    <row r="45" customFormat="false" ht="15" hidden="false" customHeight="true" outlineLevel="0" collapsed="false">
      <c r="A45" s="1" t="s">
        <v>217</v>
      </c>
      <c r="B45" s="1" t="n">
        <v>0</v>
      </c>
      <c r="C45" s="1" t="n">
        <v>1</v>
      </c>
      <c r="D45" s="1" t="n">
        <v>0</v>
      </c>
      <c r="E45" s="1" t="n">
        <v>1</v>
      </c>
      <c r="F45" s="1" t="n">
        <v>0</v>
      </c>
      <c r="G45" s="1" t="n">
        <v>0</v>
      </c>
      <c r="H45" s="1" t="n">
        <v>0</v>
      </c>
      <c r="I45" s="1" t="n">
        <v>0</v>
      </c>
      <c r="J45" s="1" t="n">
        <v>0</v>
      </c>
      <c r="K45" s="1" t="n">
        <v>0</v>
      </c>
      <c r="L45" s="1" t="n">
        <v>0</v>
      </c>
      <c r="M45" s="1" t="n">
        <v>0</v>
      </c>
    </row>
    <row r="46" customFormat="false" ht="15" hidden="false" customHeight="true" outlineLevel="0" collapsed="false">
      <c r="A46" s="1" t="s">
        <v>221</v>
      </c>
      <c r="B46" s="1" t="n">
        <v>1</v>
      </c>
      <c r="C46" s="1" t="n">
        <v>0</v>
      </c>
      <c r="D46" s="1" t="n">
        <v>0</v>
      </c>
      <c r="E46" s="1" t="n">
        <v>0</v>
      </c>
      <c r="F46" s="1" t="n">
        <v>0</v>
      </c>
      <c r="G46" s="1" t="n">
        <v>0</v>
      </c>
      <c r="H46" s="1" t="n">
        <v>0</v>
      </c>
      <c r="I46" s="1" t="n">
        <v>0</v>
      </c>
      <c r="J46" s="1" t="n">
        <v>0</v>
      </c>
      <c r="K46" s="1" t="n">
        <v>0</v>
      </c>
      <c r="L46" s="1" t="n">
        <v>0</v>
      </c>
      <c r="M46" s="1" t="n">
        <v>0</v>
      </c>
    </row>
    <row r="47" customFormat="false" ht="15" hidden="false" customHeight="true" outlineLevel="0" collapsed="false">
      <c r="A47" s="1" t="s">
        <v>225</v>
      </c>
      <c r="B47" s="1" t="n">
        <v>0</v>
      </c>
      <c r="C47" s="1" t="n">
        <v>1</v>
      </c>
      <c r="D47" s="1" t="n">
        <v>0</v>
      </c>
      <c r="E47" s="1" t="n">
        <v>1</v>
      </c>
      <c r="F47" s="1" t="n">
        <v>1</v>
      </c>
      <c r="G47" s="1" t="n">
        <v>0</v>
      </c>
      <c r="H47" s="1" t="n">
        <v>0</v>
      </c>
      <c r="I47" s="1" t="n">
        <v>0</v>
      </c>
      <c r="J47" s="1" t="n">
        <v>0</v>
      </c>
      <c r="K47" s="1" t="n">
        <v>0</v>
      </c>
      <c r="L47" s="1" t="n">
        <v>0</v>
      </c>
      <c r="M47" s="1" t="n">
        <v>0</v>
      </c>
    </row>
    <row r="48" customFormat="false" ht="15" hidden="false" customHeight="true" outlineLevel="0" collapsed="false">
      <c r="A48" s="1" t="s">
        <v>229</v>
      </c>
      <c r="B48" s="1" t="n">
        <v>0</v>
      </c>
      <c r="C48" s="1" t="n">
        <v>1</v>
      </c>
      <c r="D48" s="1" t="n">
        <v>0</v>
      </c>
      <c r="E48" s="1" t="n">
        <v>1</v>
      </c>
      <c r="F48" s="1" t="n">
        <v>1</v>
      </c>
      <c r="G48" s="1" t="n">
        <v>0</v>
      </c>
      <c r="H48" s="1" t="n">
        <v>0</v>
      </c>
      <c r="I48" s="1" t="n">
        <v>0</v>
      </c>
      <c r="J48" s="1" t="n">
        <v>0</v>
      </c>
      <c r="K48" s="1" t="n">
        <v>0</v>
      </c>
      <c r="L48" s="1" t="n">
        <v>0</v>
      </c>
      <c r="M48" s="1" t="n">
        <v>0</v>
      </c>
    </row>
    <row r="49" customFormat="false" ht="15" hidden="false" customHeight="true" outlineLevel="0" collapsed="false">
      <c r="A49" s="1" t="s">
        <v>233</v>
      </c>
      <c r="B49" s="1" t="n">
        <v>0</v>
      </c>
      <c r="C49" s="1" t="n">
        <v>0</v>
      </c>
      <c r="D49" s="1" t="n">
        <v>1</v>
      </c>
      <c r="E49" s="1" t="n">
        <v>0</v>
      </c>
      <c r="F49" s="1" t="n">
        <v>0</v>
      </c>
      <c r="G49" s="1" t="n">
        <v>0</v>
      </c>
      <c r="H49" s="1" t="n">
        <v>0</v>
      </c>
      <c r="I49" s="1" t="n">
        <v>0</v>
      </c>
      <c r="J49" s="1" t="n">
        <v>0</v>
      </c>
      <c r="K49" s="1" t="n">
        <v>0</v>
      </c>
      <c r="L49" s="1" t="n">
        <v>0</v>
      </c>
      <c r="M49" s="1" t="n">
        <v>0</v>
      </c>
    </row>
    <row r="50" customFormat="false" ht="15" hidden="false" customHeight="true" outlineLevel="0" collapsed="false">
      <c r="A50" s="1" t="s">
        <v>236</v>
      </c>
      <c r="B50" s="1" t="n">
        <v>0</v>
      </c>
      <c r="C50" s="1" t="n">
        <v>0</v>
      </c>
      <c r="D50" s="1" t="n">
        <v>1</v>
      </c>
      <c r="E50" s="1" t="n">
        <v>0</v>
      </c>
      <c r="F50" s="1" t="n">
        <v>0</v>
      </c>
      <c r="G50" s="1" t="n">
        <v>0</v>
      </c>
      <c r="H50" s="1" t="n">
        <v>0</v>
      </c>
      <c r="I50" s="1" t="n">
        <v>0</v>
      </c>
      <c r="J50" s="1" t="n">
        <v>0</v>
      </c>
      <c r="K50" s="1" t="n">
        <v>0</v>
      </c>
      <c r="L50" s="1" t="n">
        <v>0</v>
      </c>
      <c r="M50" s="1" t="n">
        <v>0</v>
      </c>
    </row>
    <row r="51" customFormat="false" ht="15" hidden="false" customHeight="true" outlineLevel="0" collapsed="false">
      <c r="A51" s="1" t="s">
        <v>240</v>
      </c>
      <c r="B51" s="1" t="n">
        <v>0</v>
      </c>
      <c r="C51" s="1" t="n">
        <v>0</v>
      </c>
      <c r="D51" s="1" t="n">
        <v>1</v>
      </c>
      <c r="E51" s="1" t="n">
        <v>0</v>
      </c>
      <c r="F51" s="1" t="n">
        <v>0</v>
      </c>
      <c r="G51" s="1" t="n">
        <v>0</v>
      </c>
      <c r="H51" s="1" t="n">
        <v>0</v>
      </c>
      <c r="I51" s="1" t="n">
        <v>0</v>
      </c>
      <c r="J51" s="1" t="n">
        <v>0</v>
      </c>
      <c r="K51" s="1" t="n">
        <v>0</v>
      </c>
      <c r="L51" s="1" t="n">
        <v>0</v>
      </c>
      <c r="M51" s="1" t="n">
        <v>0</v>
      </c>
    </row>
    <row r="52" customFormat="false" ht="15" hidden="false" customHeight="true" outlineLevel="0" collapsed="false">
      <c r="A52" s="1" t="s">
        <v>244</v>
      </c>
      <c r="B52" s="1" t="n">
        <v>0</v>
      </c>
      <c r="C52" s="1" t="n">
        <v>0</v>
      </c>
      <c r="D52" s="1" t="n">
        <v>1</v>
      </c>
      <c r="E52" s="1" t="n">
        <v>0</v>
      </c>
      <c r="F52" s="1" t="n">
        <v>0</v>
      </c>
      <c r="G52" s="1" t="n">
        <v>0</v>
      </c>
      <c r="H52" s="1" t="n">
        <v>0</v>
      </c>
      <c r="I52" s="1" t="n">
        <v>0</v>
      </c>
      <c r="J52" s="1" t="n">
        <v>0</v>
      </c>
      <c r="K52" s="1" t="n">
        <v>0</v>
      </c>
      <c r="L52" s="1" t="n">
        <v>0</v>
      </c>
      <c r="M52" s="1" t="n">
        <v>0</v>
      </c>
    </row>
    <row r="53" customFormat="false" ht="15" hidden="false" customHeight="true" outlineLevel="0" collapsed="false">
      <c r="A53" s="1" t="s">
        <v>248</v>
      </c>
      <c r="B53" s="1" t="n">
        <v>0</v>
      </c>
      <c r="C53" s="1" t="n">
        <v>0</v>
      </c>
      <c r="D53" s="1" t="n">
        <v>1</v>
      </c>
      <c r="E53" s="1" t="n">
        <v>0</v>
      </c>
      <c r="F53" s="1" t="n">
        <v>0</v>
      </c>
      <c r="G53" s="1" t="n">
        <v>0</v>
      </c>
      <c r="H53" s="1" t="n">
        <v>0</v>
      </c>
      <c r="I53" s="1" t="n">
        <v>0</v>
      </c>
      <c r="J53" s="1" t="n">
        <v>0</v>
      </c>
      <c r="K53" s="1" t="n">
        <v>0</v>
      </c>
      <c r="L53" s="1" t="n">
        <v>0</v>
      </c>
      <c r="M53" s="1" t="n">
        <v>0</v>
      </c>
    </row>
    <row r="54" customFormat="false" ht="15" hidden="false" customHeight="true" outlineLevel="0" collapsed="false">
      <c r="A54" s="1" t="s">
        <v>252</v>
      </c>
      <c r="B54" s="1" t="n">
        <v>0</v>
      </c>
      <c r="C54" s="1" t="n">
        <v>0</v>
      </c>
      <c r="D54" s="1" t="n">
        <v>1</v>
      </c>
      <c r="E54" s="1" t="n">
        <v>0</v>
      </c>
      <c r="F54" s="1" t="n">
        <v>0</v>
      </c>
      <c r="G54" s="1" t="n">
        <v>0</v>
      </c>
      <c r="H54" s="1" t="n">
        <v>0</v>
      </c>
      <c r="I54" s="1" t="n">
        <v>0</v>
      </c>
      <c r="J54" s="1" t="n">
        <v>0</v>
      </c>
      <c r="K54" s="1" t="n">
        <v>0</v>
      </c>
      <c r="L54" s="1" t="n">
        <v>0</v>
      </c>
      <c r="M54" s="1" t="n">
        <v>0</v>
      </c>
    </row>
    <row r="55" customFormat="false" ht="15" hidden="false" customHeight="true" outlineLevel="0" collapsed="false">
      <c r="A55" s="1" t="s">
        <v>256</v>
      </c>
      <c r="B55" s="1" t="n">
        <v>1</v>
      </c>
      <c r="C55" s="1" t="n">
        <v>1</v>
      </c>
      <c r="D55" s="1" t="n">
        <v>0</v>
      </c>
      <c r="E55" s="1" t="n">
        <v>0</v>
      </c>
      <c r="F55" s="1" t="n">
        <v>0</v>
      </c>
      <c r="G55" s="1" t="n">
        <v>1</v>
      </c>
      <c r="H55" s="1" t="n">
        <v>1</v>
      </c>
      <c r="I55" s="1" t="n">
        <v>1</v>
      </c>
      <c r="J55" s="1" t="n">
        <v>1</v>
      </c>
      <c r="K55" s="1" t="n">
        <v>1</v>
      </c>
      <c r="L55" s="1" t="n">
        <v>0</v>
      </c>
      <c r="M55" s="1" t="n">
        <v>0</v>
      </c>
    </row>
    <row r="56" customFormat="false" ht="15" hidden="false" customHeight="true" outlineLevel="0" collapsed="false">
      <c r="A56" s="1" t="s">
        <v>260</v>
      </c>
      <c r="B56" s="1" t="n">
        <v>1</v>
      </c>
      <c r="C56" s="1" t="n">
        <v>1</v>
      </c>
      <c r="D56" s="1" t="n">
        <v>0</v>
      </c>
      <c r="E56" s="1" t="n">
        <v>0</v>
      </c>
      <c r="F56" s="1" t="n">
        <v>0</v>
      </c>
      <c r="G56" s="1" t="n">
        <v>0</v>
      </c>
      <c r="H56" s="1" t="n">
        <v>1</v>
      </c>
      <c r="I56" s="1" t="n">
        <v>1</v>
      </c>
      <c r="J56" s="1" t="n">
        <v>1</v>
      </c>
      <c r="K56" s="1" t="n">
        <v>1</v>
      </c>
      <c r="L56" s="1" t="n">
        <v>0</v>
      </c>
      <c r="M56" s="1" t="n">
        <v>0</v>
      </c>
    </row>
    <row r="57" customFormat="false" ht="15" hidden="false" customHeight="true" outlineLevel="0" collapsed="false">
      <c r="A57" s="1" t="s">
        <v>263</v>
      </c>
      <c r="B57" s="1" t="n">
        <v>0</v>
      </c>
      <c r="C57" s="1" t="n">
        <v>0</v>
      </c>
      <c r="D57" s="1" t="n">
        <v>0</v>
      </c>
      <c r="E57" s="1" t="n">
        <v>0</v>
      </c>
      <c r="F57" s="1" t="n">
        <v>0</v>
      </c>
      <c r="G57" s="1" t="n">
        <v>0</v>
      </c>
      <c r="H57" s="1" t="n">
        <v>1</v>
      </c>
      <c r="I57" s="1" t="n">
        <v>1</v>
      </c>
      <c r="J57" s="1" t="n">
        <v>1</v>
      </c>
      <c r="K57" s="1" t="n">
        <v>1</v>
      </c>
      <c r="L57" s="1" t="n">
        <v>0</v>
      </c>
      <c r="M57" s="1" t="n">
        <v>0</v>
      </c>
    </row>
    <row r="58" customFormat="false" ht="15" hidden="false" customHeight="true" outlineLevel="0" collapsed="false">
      <c r="A58" s="1" t="s">
        <v>267</v>
      </c>
      <c r="B58" s="1" t="n">
        <v>1</v>
      </c>
      <c r="C58" s="1" t="n">
        <v>1</v>
      </c>
      <c r="D58" s="1" t="n">
        <v>0</v>
      </c>
      <c r="E58" s="1" t="n">
        <v>0</v>
      </c>
      <c r="F58" s="1" t="n">
        <v>0</v>
      </c>
      <c r="G58" s="1" t="n">
        <v>0</v>
      </c>
      <c r="H58" s="1" t="n">
        <v>0</v>
      </c>
      <c r="I58" s="1" t="n">
        <v>1</v>
      </c>
      <c r="J58" s="1" t="n">
        <v>0</v>
      </c>
      <c r="K58" s="1" t="n">
        <v>0</v>
      </c>
      <c r="L58" s="1" t="n">
        <v>0</v>
      </c>
      <c r="M58" s="1" t="n">
        <v>0</v>
      </c>
    </row>
    <row r="59" customFormat="false" ht="15" hidden="false" customHeight="true" outlineLevel="0" collapsed="false">
      <c r="A59" s="1" t="s">
        <v>271</v>
      </c>
      <c r="B59" s="1" t="n">
        <v>1</v>
      </c>
      <c r="C59" s="1" t="n">
        <v>0</v>
      </c>
      <c r="D59" s="1" t="n">
        <v>0</v>
      </c>
      <c r="E59" s="1" t="n">
        <v>0</v>
      </c>
      <c r="F59" s="1" t="n">
        <v>0</v>
      </c>
      <c r="G59" s="1" t="n">
        <v>0</v>
      </c>
      <c r="H59" s="1" t="n">
        <v>0</v>
      </c>
      <c r="I59" s="1" t="n">
        <v>0</v>
      </c>
      <c r="J59" s="1" t="n">
        <v>1</v>
      </c>
      <c r="K59" s="1" t="n">
        <v>1</v>
      </c>
      <c r="L59" s="1" t="n">
        <v>0</v>
      </c>
      <c r="M59" s="1" t="n">
        <v>0</v>
      </c>
    </row>
    <row r="60" customFormat="false" ht="15" hidden="false" customHeight="true" outlineLevel="0" collapsed="false">
      <c r="A60" s="1" t="s">
        <v>275</v>
      </c>
      <c r="B60" s="1" t="n">
        <v>1</v>
      </c>
      <c r="C60" s="1" t="n">
        <v>0</v>
      </c>
      <c r="D60" s="1" t="n">
        <v>0</v>
      </c>
      <c r="E60" s="1" t="n">
        <v>0</v>
      </c>
      <c r="F60" s="1" t="n">
        <v>0</v>
      </c>
      <c r="G60" s="1" t="n">
        <v>0</v>
      </c>
      <c r="H60" s="1" t="n">
        <v>0</v>
      </c>
      <c r="I60" s="1" t="n">
        <v>0</v>
      </c>
      <c r="J60" s="1" t="n">
        <v>1</v>
      </c>
      <c r="K60" s="1" t="n">
        <v>1</v>
      </c>
      <c r="L60" s="1" t="n">
        <v>0</v>
      </c>
      <c r="M60" s="1" t="n">
        <v>0</v>
      </c>
    </row>
    <row r="61" customFormat="false" ht="15" hidden="false" customHeight="true" outlineLevel="0" collapsed="false">
      <c r="A61" s="1" t="s">
        <v>279</v>
      </c>
      <c r="B61" s="1" t="n">
        <v>0</v>
      </c>
      <c r="C61" s="1" t="n">
        <v>0</v>
      </c>
      <c r="D61" s="1" t="n">
        <v>0</v>
      </c>
      <c r="E61" s="1" t="n">
        <v>0</v>
      </c>
      <c r="F61" s="1" t="n">
        <v>0</v>
      </c>
      <c r="G61" s="1" t="n">
        <v>1</v>
      </c>
      <c r="H61" s="1" t="n">
        <v>0</v>
      </c>
      <c r="I61" s="1" t="n">
        <v>0</v>
      </c>
      <c r="J61" s="1" t="n">
        <v>1</v>
      </c>
      <c r="K61" s="1" t="n">
        <v>1</v>
      </c>
      <c r="L61" s="1" t="n">
        <v>0</v>
      </c>
      <c r="M61" s="1" t="n">
        <v>0</v>
      </c>
    </row>
    <row r="62" customFormat="false" ht="15" hidden="false" customHeight="true" outlineLevel="0" collapsed="false">
      <c r="A62" s="1" t="s">
        <v>282</v>
      </c>
      <c r="B62" s="1" t="n">
        <v>0</v>
      </c>
      <c r="C62" s="1" t="n">
        <v>0</v>
      </c>
      <c r="D62" s="1" t="n">
        <v>0</v>
      </c>
      <c r="E62" s="1" t="n">
        <v>0</v>
      </c>
      <c r="F62" s="1" t="n">
        <v>0</v>
      </c>
      <c r="G62" s="1" t="n">
        <v>1</v>
      </c>
      <c r="H62" s="1" t="n">
        <v>0</v>
      </c>
      <c r="I62" s="1" t="n">
        <v>0</v>
      </c>
      <c r="J62" s="1" t="n">
        <v>0</v>
      </c>
      <c r="K62" s="1" t="n">
        <v>1</v>
      </c>
      <c r="L62" s="1" t="n">
        <v>0</v>
      </c>
      <c r="M62" s="1" t="n">
        <v>0</v>
      </c>
    </row>
    <row r="63" customFormat="false" ht="15" hidden="false" customHeight="true" outlineLevel="0" collapsed="false">
      <c r="A63" s="1" t="s">
        <v>286</v>
      </c>
      <c r="B63" s="1" t="n">
        <v>0</v>
      </c>
      <c r="C63" s="1" t="n">
        <v>0</v>
      </c>
      <c r="D63" s="1" t="n">
        <v>0</v>
      </c>
      <c r="E63" s="1" t="n">
        <v>0</v>
      </c>
      <c r="F63" s="1" t="n">
        <v>0</v>
      </c>
      <c r="G63" s="1" t="n">
        <v>1</v>
      </c>
      <c r="H63" s="1" t="n">
        <v>0</v>
      </c>
      <c r="I63" s="1" t="n">
        <v>0</v>
      </c>
      <c r="J63" s="1" t="n">
        <v>1</v>
      </c>
      <c r="K63" s="1" t="n">
        <v>1</v>
      </c>
      <c r="L63" s="1" t="n">
        <v>0</v>
      </c>
      <c r="M63" s="1" t="n">
        <v>0</v>
      </c>
    </row>
    <row r="64" customFormat="false" ht="15" hidden="false" customHeight="true" outlineLevel="0" collapsed="false">
      <c r="A64" s="1" t="s">
        <v>290</v>
      </c>
      <c r="B64" s="1" t="n">
        <v>1</v>
      </c>
      <c r="C64" s="1" t="n">
        <v>1</v>
      </c>
      <c r="D64" s="1" t="n">
        <v>1</v>
      </c>
      <c r="E64" s="1" t="n">
        <v>1</v>
      </c>
      <c r="F64" s="1" t="n">
        <v>1</v>
      </c>
      <c r="G64" s="1" t="n">
        <v>1</v>
      </c>
      <c r="H64" s="1" t="n">
        <v>0</v>
      </c>
      <c r="I64" s="1" t="n">
        <v>0</v>
      </c>
      <c r="J64" s="1" t="n">
        <v>1</v>
      </c>
      <c r="K64" s="1" t="n">
        <v>1</v>
      </c>
      <c r="L64" s="1" t="n">
        <v>1</v>
      </c>
      <c r="M64" s="1" t="n">
        <v>0</v>
      </c>
    </row>
    <row r="65" customFormat="false" ht="15" hidden="false" customHeight="true" outlineLevel="0" collapsed="false">
      <c r="A65" s="1" t="s">
        <v>293</v>
      </c>
      <c r="B65" s="1" t="n">
        <v>1</v>
      </c>
      <c r="C65" s="1" t="n">
        <v>1</v>
      </c>
      <c r="D65" s="1" t="n">
        <v>1</v>
      </c>
      <c r="E65" s="1" t="n">
        <v>1</v>
      </c>
      <c r="F65" s="1" t="n">
        <v>1</v>
      </c>
      <c r="G65" s="1" t="n">
        <v>0</v>
      </c>
      <c r="H65" s="1" t="n">
        <v>0</v>
      </c>
      <c r="I65" s="1" t="n">
        <v>0</v>
      </c>
      <c r="J65" s="1" t="n">
        <v>0</v>
      </c>
      <c r="K65" s="1" t="n">
        <v>1</v>
      </c>
      <c r="L65" s="1" t="n">
        <v>1</v>
      </c>
      <c r="M65" s="1" t="n">
        <v>0</v>
      </c>
    </row>
    <row r="66" customFormat="false" ht="15" hidden="false" customHeight="true" outlineLevel="0" collapsed="false">
      <c r="A66" s="1" t="s">
        <v>296</v>
      </c>
      <c r="B66" s="1" t="n">
        <v>1</v>
      </c>
      <c r="C66" s="1" t="n">
        <v>0</v>
      </c>
      <c r="D66" s="1" t="n">
        <v>0</v>
      </c>
      <c r="E66" s="1" t="n">
        <v>0</v>
      </c>
      <c r="F66" s="1" t="n">
        <v>0</v>
      </c>
      <c r="G66" s="1" t="n">
        <v>0</v>
      </c>
      <c r="H66" s="1" t="n">
        <v>0</v>
      </c>
      <c r="I66" s="1" t="n">
        <v>0</v>
      </c>
      <c r="J66" s="1" t="n">
        <v>0</v>
      </c>
      <c r="K66" s="1" t="n">
        <v>0</v>
      </c>
      <c r="L66" s="1" t="n">
        <v>0</v>
      </c>
      <c r="M66" s="1" t="n">
        <v>0</v>
      </c>
    </row>
    <row r="67" customFormat="false" ht="15" hidden="false" customHeight="true" outlineLevel="0" collapsed="false">
      <c r="A67" s="1" t="s">
        <v>300</v>
      </c>
      <c r="B67" s="1" t="n">
        <v>0</v>
      </c>
      <c r="C67" s="1" t="n">
        <v>0</v>
      </c>
      <c r="D67" s="1" t="n">
        <v>0</v>
      </c>
      <c r="E67" s="1" t="n">
        <v>0</v>
      </c>
      <c r="F67" s="1" t="n">
        <v>0</v>
      </c>
      <c r="G67" s="1" t="n">
        <v>0</v>
      </c>
      <c r="H67" s="1" t="n">
        <v>0</v>
      </c>
      <c r="I67" s="1" t="n">
        <v>0</v>
      </c>
      <c r="J67" s="1" t="n">
        <v>0</v>
      </c>
      <c r="K67" s="1" t="n">
        <v>0</v>
      </c>
      <c r="L67" s="1" t="n">
        <v>1</v>
      </c>
      <c r="M67" s="1" t="n">
        <v>0</v>
      </c>
    </row>
    <row r="68" customFormat="false" ht="15" hidden="false" customHeight="true" outlineLevel="0" collapsed="false">
      <c r="A68" s="1" t="s">
        <v>304</v>
      </c>
      <c r="B68" s="1" t="n">
        <v>1</v>
      </c>
      <c r="C68" s="1" t="n">
        <v>0</v>
      </c>
      <c r="D68" s="1" t="n">
        <v>0</v>
      </c>
      <c r="E68" s="1" t="n">
        <v>0</v>
      </c>
      <c r="F68" s="1" t="n">
        <v>0</v>
      </c>
      <c r="G68" s="1" t="n">
        <v>0</v>
      </c>
      <c r="H68" s="1" t="n">
        <v>0</v>
      </c>
      <c r="I68" s="1" t="n">
        <v>0</v>
      </c>
      <c r="J68" s="1" t="n">
        <v>0</v>
      </c>
      <c r="K68" s="1" t="n">
        <v>1</v>
      </c>
      <c r="L68" s="1" t="n">
        <v>0</v>
      </c>
      <c r="M68" s="1" t="n">
        <v>0</v>
      </c>
    </row>
    <row r="69" customFormat="false" ht="15" hidden="false" customHeight="true" outlineLevel="0" collapsed="false">
      <c r="A69" s="1" t="s">
        <v>308</v>
      </c>
      <c r="B69" s="1" t="n">
        <v>1</v>
      </c>
      <c r="C69" s="1" t="n">
        <v>1</v>
      </c>
      <c r="D69" s="1" t="n">
        <v>0</v>
      </c>
      <c r="E69" s="1" t="n">
        <v>0</v>
      </c>
      <c r="F69" s="1" t="n">
        <v>0</v>
      </c>
      <c r="G69" s="1" t="n">
        <v>0</v>
      </c>
      <c r="H69" s="1" t="n">
        <v>0</v>
      </c>
      <c r="I69" s="1" t="n">
        <v>0</v>
      </c>
      <c r="J69" s="1" t="n">
        <v>0</v>
      </c>
      <c r="K69" s="1" t="n">
        <v>0</v>
      </c>
      <c r="L69" s="1" t="n">
        <v>0</v>
      </c>
      <c r="M69" s="1" t="n">
        <v>0</v>
      </c>
    </row>
    <row r="70" customFormat="false" ht="15" hidden="false" customHeight="true" outlineLevel="0" collapsed="false">
      <c r="A70" s="1" t="s">
        <v>312</v>
      </c>
      <c r="B70" s="1" t="n">
        <v>1</v>
      </c>
      <c r="C70" s="1" t="n">
        <v>0</v>
      </c>
      <c r="D70" s="1" t="n">
        <v>0</v>
      </c>
      <c r="E70" s="1" t="n">
        <v>0</v>
      </c>
      <c r="F70" s="1" t="n">
        <v>0</v>
      </c>
      <c r="G70" s="1" t="n">
        <v>0</v>
      </c>
      <c r="H70" s="1" t="n">
        <v>0</v>
      </c>
      <c r="I70" s="1" t="n">
        <v>0</v>
      </c>
      <c r="J70" s="1" t="n">
        <v>0</v>
      </c>
      <c r="K70" s="1" t="n">
        <v>0</v>
      </c>
      <c r="L70" s="1" t="n">
        <v>0</v>
      </c>
      <c r="M70" s="1" t="n">
        <v>0</v>
      </c>
    </row>
    <row r="71" customFormat="false" ht="15" hidden="false" customHeight="true" outlineLevel="0" collapsed="false">
      <c r="A71" s="1" t="s">
        <v>316</v>
      </c>
      <c r="B71" s="1" t="n">
        <v>0</v>
      </c>
      <c r="C71" s="1" t="n">
        <v>0</v>
      </c>
      <c r="D71" s="1" t="n">
        <v>0</v>
      </c>
      <c r="E71" s="1" t="n">
        <v>1</v>
      </c>
      <c r="F71" s="1" t="n">
        <v>0</v>
      </c>
      <c r="G71" s="1" t="n">
        <v>0</v>
      </c>
      <c r="H71" s="1" t="n">
        <v>0</v>
      </c>
      <c r="I71" s="1" t="n">
        <v>0</v>
      </c>
      <c r="J71" s="1" t="n">
        <v>0</v>
      </c>
      <c r="K71" s="1" t="n">
        <v>0</v>
      </c>
      <c r="L71" s="1" t="n">
        <v>0</v>
      </c>
      <c r="M71" s="1" t="n">
        <v>0</v>
      </c>
    </row>
    <row r="72" customFormat="false" ht="15" hidden="false" customHeight="true" outlineLevel="0" collapsed="false">
      <c r="A72" s="1" t="s">
        <v>320</v>
      </c>
      <c r="B72" s="1" t="n">
        <v>0</v>
      </c>
      <c r="C72" s="1" t="n">
        <v>0</v>
      </c>
      <c r="D72" s="1" t="n">
        <v>0</v>
      </c>
      <c r="E72" s="1" t="n">
        <v>0</v>
      </c>
      <c r="F72" s="1" t="n">
        <v>1</v>
      </c>
      <c r="G72" s="1" t="n">
        <v>0</v>
      </c>
      <c r="H72" s="1" t="n">
        <v>0</v>
      </c>
      <c r="I72" s="1" t="n">
        <v>0</v>
      </c>
      <c r="J72" s="1" t="n">
        <v>0</v>
      </c>
      <c r="K72" s="1" t="n">
        <v>0</v>
      </c>
      <c r="L72" s="1" t="n">
        <v>0</v>
      </c>
      <c r="M72" s="1" t="n">
        <v>0</v>
      </c>
    </row>
    <row r="73" customFormat="false" ht="15" hidden="false" customHeight="true" outlineLevel="0" collapsed="false">
      <c r="A73" s="1" t="s">
        <v>324</v>
      </c>
      <c r="B73" s="1" t="n">
        <v>0</v>
      </c>
      <c r="C73" s="1" t="n">
        <v>1</v>
      </c>
      <c r="D73" s="1" t="n">
        <v>0</v>
      </c>
      <c r="E73" s="1" t="n">
        <v>1</v>
      </c>
      <c r="F73" s="1" t="n">
        <v>1</v>
      </c>
      <c r="G73" s="1" t="n">
        <v>0</v>
      </c>
      <c r="H73" s="1" t="n">
        <v>0</v>
      </c>
      <c r="I73" s="1" t="n">
        <v>0</v>
      </c>
      <c r="J73" s="1" t="n">
        <v>0</v>
      </c>
      <c r="K73" s="1" t="n">
        <v>0</v>
      </c>
      <c r="L73" s="1" t="n">
        <v>0</v>
      </c>
      <c r="M73" s="1" t="n">
        <v>0</v>
      </c>
    </row>
    <row r="74" customFormat="false" ht="15" hidden="false" customHeight="true" outlineLevel="0" collapsed="false">
      <c r="A74" s="1" t="s">
        <v>328</v>
      </c>
      <c r="B74" s="1" t="n">
        <v>0</v>
      </c>
      <c r="C74" s="1" t="n">
        <v>0</v>
      </c>
      <c r="D74" s="1" t="n">
        <v>1</v>
      </c>
      <c r="E74" s="1" t="n">
        <v>0</v>
      </c>
      <c r="F74" s="1" t="n">
        <v>0</v>
      </c>
      <c r="G74" s="1" t="n">
        <v>0</v>
      </c>
      <c r="H74" s="1" t="n">
        <v>0</v>
      </c>
      <c r="I74" s="1" t="n">
        <v>0</v>
      </c>
      <c r="J74" s="1" t="n">
        <v>0</v>
      </c>
      <c r="K74" s="1" t="n">
        <v>0</v>
      </c>
      <c r="L74" s="1" t="n">
        <v>0</v>
      </c>
      <c r="M74" s="1" t="n">
        <v>0</v>
      </c>
    </row>
    <row r="75" customFormat="false" ht="15" hidden="false" customHeight="true" outlineLevel="0" collapsed="false">
      <c r="A75" s="1" t="s">
        <v>332</v>
      </c>
      <c r="B75" s="1" t="n">
        <v>0</v>
      </c>
      <c r="C75" s="1" t="n">
        <v>0</v>
      </c>
      <c r="D75" s="1" t="n">
        <v>1</v>
      </c>
      <c r="E75" s="1" t="n">
        <v>0</v>
      </c>
      <c r="F75" s="1" t="n">
        <v>0</v>
      </c>
      <c r="G75" s="1" t="n">
        <v>0</v>
      </c>
      <c r="H75" s="1" t="n">
        <v>0</v>
      </c>
      <c r="I75" s="1" t="n">
        <v>0</v>
      </c>
      <c r="J75" s="1" t="n">
        <v>0</v>
      </c>
      <c r="K75" s="1" t="n">
        <v>0</v>
      </c>
      <c r="L75" s="1" t="n">
        <v>0</v>
      </c>
      <c r="M75" s="1" t="n">
        <v>0</v>
      </c>
    </row>
    <row r="76" customFormat="false" ht="15" hidden="false" customHeight="true" outlineLevel="0" collapsed="false">
      <c r="A76" s="1" t="s">
        <v>336</v>
      </c>
      <c r="B76" s="1" t="n">
        <v>1</v>
      </c>
      <c r="C76" s="1" t="n">
        <v>0</v>
      </c>
      <c r="D76" s="1" t="n">
        <v>0</v>
      </c>
      <c r="E76" s="1" t="n">
        <v>0</v>
      </c>
      <c r="F76" s="1" t="n">
        <v>0</v>
      </c>
      <c r="G76" s="1" t="n">
        <v>0</v>
      </c>
      <c r="H76" s="1" t="n">
        <v>0</v>
      </c>
      <c r="I76" s="1" t="n">
        <v>0</v>
      </c>
      <c r="J76" s="1" t="n">
        <v>0</v>
      </c>
      <c r="K76" s="1" t="n">
        <v>0</v>
      </c>
      <c r="L76" s="1" t="n">
        <v>0</v>
      </c>
      <c r="M76" s="1" t="n">
        <v>0</v>
      </c>
    </row>
    <row r="77" customFormat="false" ht="15" hidden="false" customHeight="true" outlineLevel="0" collapsed="false">
      <c r="A77" s="1" t="s">
        <v>340</v>
      </c>
      <c r="B77" s="1" t="n">
        <v>1</v>
      </c>
      <c r="C77" s="1" t="n">
        <v>0</v>
      </c>
      <c r="D77" s="1" t="n">
        <v>0</v>
      </c>
      <c r="E77" s="1" t="n">
        <v>0</v>
      </c>
      <c r="F77" s="1" t="n">
        <v>0</v>
      </c>
      <c r="G77" s="1" t="n">
        <v>0</v>
      </c>
      <c r="H77" s="1" t="n">
        <v>0</v>
      </c>
      <c r="I77" s="1" t="n">
        <v>0</v>
      </c>
      <c r="J77" s="1" t="n">
        <v>0</v>
      </c>
      <c r="K77" s="1" t="n">
        <v>0</v>
      </c>
      <c r="L77" s="1" t="n">
        <v>0</v>
      </c>
      <c r="M77" s="1" t="n">
        <v>0</v>
      </c>
    </row>
    <row r="78" customFormat="false" ht="15" hidden="false" customHeight="true" outlineLevel="0" collapsed="false">
      <c r="A78" s="1" t="s">
        <v>344</v>
      </c>
      <c r="B78" s="1" t="n">
        <v>1</v>
      </c>
      <c r="C78" s="1" t="n">
        <v>0</v>
      </c>
      <c r="D78" s="1" t="n">
        <v>0</v>
      </c>
      <c r="E78" s="1" t="n">
        <v>0</v>
      </c>
      <c r="F78" s="1" t="n">
        <v>0</v>
      </c>
      <c r="G78" s="1" t="n">
        <v>1</v>
      </c>
      <c r="H78" s="1" t="n">
        <v>0</v>
      </c>
      <c r="I78" s="1" t="n">
        <v>0</v>
      </c>
      <c r="J78" s="1" t="n">
        <v>1</v>
      </c>
      <c r="K78" s="1" t="n">
        <v>1</v>
      </c>
      <c r="L78" s="1" t="n">
        <v>0</v>
      </c>
      <c r="M78" s="1" t="n">
        <v>0</v>
      </c>
    </row>
    <row r="79" customFormat="false" ht="15" hidden="false" customHeight="true" outlineLevel="0" collapsed="false">
      <c r="A79" s="1" t="s">
        <v>347</v>
      </c>
      <c r="B79" s="1" t="n">
        <v>0</v>
      </c>
      <c r="C79" s="1" t="n">
        <v>0</v>
      </c>
      <c r="D79" s="1" t="n">
        <v>0</v>
      </c>
      <c r="E79" s="1" t="n">
        <v>0</v>
      </c>
      <c r="F79" s="1" t="n">
        <v>0</v>
      </c>
      <c r="G79" s="1" t="n">
        <v>0</v>
      </c>
      <c r="H79" s="1" t="n">
        <v>0</v>
      </c>
      <c r="I79" s="1" t="n">
        <v>0</v>
      </c>
      <c r="J79" s="1" t="n">
        <v>0</v>
      </c>
      <c r="K79" s="1" t="n">
        <v>1</v>
      </c>
      <c r="L79" s="1" t="n">
        <v>0</v>
      </c>
      <c r="M79" s="1" t="n">
        <v>0</v>
      </c>
    </row>
    <row r="80" customFormat="false" ht="15" hidden="false" customHeight="true" outlineLevel="0" collapsed="false">
      <c r="A80" s="1" t="s">
        <v>351</v>
      </c>
      <c r="B80" s="1" t="n">
        <v>0</v>
      </c>
      <c r="C80" s="1" t="n">
        <v>0</v>
      </c>
      <c r="D80" s="1" t="n">
        <v>0</v>
      </c>
      <c r="E80" s="1" t="n">
        <v>0</v>
      </c>
      <c r="F80" s="1" t="n">
        <v>0</v>
      </c>
      <c r="G80" s="1" t="n">
        <v>0</v>
      </c>
      <c r="H80" s="1" t="n">
        <v>0</v>
      </c>
      <c r="I80" s="1" t="n">
        <v>0</v>
      </c>
      <c r="J80" s="1" t="n">
        <v>0</v>
      </c>
      <c r="K80" s="1" t="n">
        <v>1</v>
      </c>
      <c r="L80" s="1" t="n">
        <v>0</v>
      </c>
      <c r="M80" s="1" t="n">
        <v>0</v>
      </c>
    </row>
    <row r="81" customFormat="false" ht="15" hidden="false" customHeight="true" outlineLevel="0" collapsed="false">
      <c r="A81" s="1" t="s">
        <v>355</v>
      </c>
      <c r="B81" s="1" t="n">
        <v>0</v>
      </c>
      <c r="C81" s="1" t="n">
        <v>0</v>
      </c>
      <c r="D81" s="1" t="n">
        <v>0</v>
      </c>
      <c r="E81" s="1" t="n">
        <v>0</v>
      </c>
      <c r="F81" s="1" t="n">
        <v>0</v>
      </c>
      <c r="G81" s="1" t="n">
        <v>1</v>
      </c>
      <c r="H81" s="1" t="n">
        <v>0</v>
      </c>
      <c r="I81" s="1" t="n">
        <v>0</v>
      </c>
      <c r="J81" s="1" t="n">
        <v>1</v>
      </c>
      <c r="K81" s="1" t="n">
        <v>0</v>
      </c>
      <c r="L81" s="1" t="n">
        <v>0</v>
      </c>
      <c r="M81" s="1" t="n">
        <v>0</v>
      </c>
    </row>
    <row r="82" customFormat="false" ht="15" hidden="false" customHeight="true" outlineLevel="0" collapsed="false">
      <c r="A82" s="1" t="s">
        <v>359</v>
      </c>
      <c r="B82" s="1" t="n">
        <v>0</v>
      </c>
      <c r="C82" s="1" t="n">
        <v>0</v>
      </c>
      <c r="D82" s="1" t="n">
        <v>0</v>
      </c>
      <c r="E82" s="1" t="n">
        <v>0</v>
      </c>
      <c r="F82" s="1" t="n">
        <v>0</v>
      </c>
      <c r="G82" s="1" t="n">
        <v>1</v>
      </c>
      <c r="H82" s="1" t="n">
        <v>0</v>
      </c>
      <c r="I82" s="1" t="n">
        <v>0</v>
      </c>
      <c r="J82" s="1" t="n">
        <v>0</v>
      </c>
      <c r="K82" s="1" t="n">
        <v>1</v>
      </c>
      <c r="L82" s="1" t="n">
        <v>0</v>
      </c>
      <c r="M82" s="1" t="n">
        <v>0</v>
      </c>
    </row>
    <row r="83" customFormat="false" ht="15" hidden="false" customHeight="true" outlineLevel="0" collapsed="false">
      <c r="A83" s="1" t="s">
        <v>363</v>
      </c>
      <c r="B83" s="1" t="n">
        <v>0</v>
      </c>
      <c r="C83" s="1" t="n">
        <v>0</v>
      </c>
      <c r="D83" s="1" t="n">
        <v>0</v>
      </c>
      <c r="E83" s="1" t="n">
        <v>0</v>
      </c>
      <c r="F83" s="1" t="n">
        <v>0</v>
      </c>
      <c r="G83" s="1" t="n">
        <v>1</v>
      </c>
      <c r="H83" s="1" t="n">
        <v>0</v>
      </c>
      <c r="I83" s="1" t="n">
        <v>0</v>
      </c>
      <c r="J83" s="1" t="n">
        <v>0</v>
      </c>
      <c r="K83" s="1" t="n">
        <v>0</v>
      </c>
      <c r="L83" s="1" t="n">
        <v>0</v>
      </c>
      <c r="M83" s="1" t="n">
        <v>0</v>
      </c>
    </row>
    <row r="84" customFormat="false" ht="15" hidden="false" customHeight="true" outlineLevel="0" collapsed="false">
      <c r="A84" s="1" t="s">
        <v>367</v>
      </c>
      <c r="B84" s="1" t="n">
        <v>0</v>
      </c>
      <c r="C84" s="1" t="n">
        <v>0</v>
      </c>
      <c r="D84" s="1" t="n">
        <v>0</v>
      </c>
      <c r="E84" s="1" t="n">
        <v>0</v>
      </c>
      <c r="F84" s="1" t="n">
        <v>0</v>
      </c>
      <c r="G84" s="1" t="n">
        <v>1</v>
      </c>
      <c r="H84" s="1" t="n">
        <v>0</v>
      </c>
      <c r="I84" s="1" t="n">
        <v>0</v>
      </c>
      <c r="J84" s="1" t="n">
        <v>0</v>
      </c>
      <c r="K84" s="1" t="n">
        <v>0</v>
      </c>
      <c r="L84" s="1" t="n">
        <v>0</v>
      </c>
      <c r="M84" s="1" t="n">
        <v>0</v>
      </c>
    </row>
    <row r="85" customFormat="false" ht="15" hidden="false" customHeight="true" outlineLevel="0" collapsed="false">
      <c r="A85" s="1" t="s">
        <v>371</v>
      </c>
      <c r="B85" s="1" t="n">
        <v>1</v>
      </c>
      <c r="C85" s="1" t="n">
        <v>0</v>
      </c>
      <c r="D85" s="1" t="n">
        <v>0</v>
      </c>
      <c r="E85" s="1" t="n">
        <v>0</v>
      </c>
      <c r="F85" s="1" t="n">
        <v>0</v>
      </c>
      <c r="G85" s="1" t="n">
        <v>1</v>
      </c>
      <c r="H85" s="1" t="n">
        <v>0</v>
      </c>
      <c r="I85" s="1" t="n">
        <v>0</v>
      </c>
      <c r="J85" s="1" t="n">
        <v>0</v>
      </c>
      <c r="K85" s="1" t="n">
        <v>0</v>
      </c>
      <c r="L85" s="1" t="n">
        <v>0</v>
      </c>
      <c r="M85" s="1" t="n">
        <v>0</v>
      </c>
    </row>
    <row r="86" customFormat="false" ht="15" hidden="false" customHeight="true" outlineLevel="0" collapsed="false">
      <c r="A86" s="1" t="s">
        <v>375</v>
      </c>
      <c r="B86" s="1" t="n">
        <v>1</v>
      </c>
      <c r="C86" s="1" t="n">
        <v>0</v>
      </c>
      <c r="D86" s="1" t="n">
        <v>1</v>
      </c>
      <c r="E86" s="1" t="n">
        <v>0</v>
      </c>
      <c r="F86" s="1" t="n">
        <v>0</v>
      </c>
      <c r="G86" s="1" t="n">
        <v>1</v>
      </c>
      <c r="H86" s="1" t="n">
        <v>0</v>
      </c>
      <c r="I86" s="1" t="n">
        <v>0</v>
      </c>
      <c r="J86" s="1" t="n">
        <v>1</v>
      </c>
      <c r="K86" s="1" t="n">
        <v>1</v>
      </c>
      <c r="L86" s="1" t="n">
        <v>1</v>
      </c>
      <c r="M86" s="1" t="n">
        <v>1</v>
      </c>
    </row>
    <row r="87" customFormat="false" ht="15" hidden="false" customHeight="true" outlineLevel="0" collapsed="false">
      <c r="A87" s="1" t="s">
        <v>378</v>
      </c>
      <c r="B87" s="1" t="n">
        <v>1</v>
      </c>
      <c r="C87" s="1" t="n">
        <v>0</v>
      </c>
      <c r="D87" s="1" t="n">
        <v>1</v>
      </c>
      <c r="E87" s="1" t="n">
        <v>0</v>
      </c>
      <c r="F87" s="1" t="n">
        <v>0</v>
      </c>
      <c r="G87" s="1" t="n">
        <v>0</v>
      </c>
      <c r="H87" s="1" t="n">
        <v>0</v>
      </c>
      <c r="I87" s="1" t="n">
        <v>0</v>
      </c>
      <c r="J87" s="1" t="n">
        <v>1</v>
      </c>
      <c r="K87" s="1" t="n">
        <v>1</v>
      </c>
      <c r="L87" s="1" t="n">
        <v>1</v>
      </c>
      <c r="M87" s="1" t="n">
        <v>0</v>
      </c>
    </row>
    <row r="88" customFormat="false" ht="15" hidden="false" customHeight="true" outlineLevel="0" collapsed="false">
      <c r="A88" s="1" t="s">
        <v>381</v>
      </c>
      <c r="B88" s="1" t="n">
        <v>0</v>
      </c>
      <c r="C88" s="1" t="n">
        <v>0</v>
      </c>
      <c r="D88" s="1" t="n">
        <v>0</v>
      </c>
      <c r="E88" s="1" t="n">
        <v>0</v>
      </c>
      <c r="F88" s="1" t="n">
        <v>0</v>
      </c>
      <c r="G88" s="1" t="n">
        <v>0</v>
      </c>
      <c r="H88" s="1" t="n">
        <v>0</v>
      </c>
      <c r="I88" s="1" t="n">
        <v>0</v>
      </c>
      <c r="J88" s="1" t="n">
        <v>1</v>
      </c>
      <c r="K88" s="1" t="n">
        <v>0</v>
      </c>
      <c r="L88" s="1" t="n">
        <v>0</v>
      </c>
      <c r="M88" s="1" t="n">
        <v>0</v>
      </c>
    </row>
    <row r="89" customFormat="false" ht="15" hidden="false" customHeight="true" outlineLevel="0" collapsed="false">
      <c r="A89" s="1" t="s">
        <v>385</v>
      </c>
      <c r="B89" s="1" t="n">
        <v>0</v>
      </c>
      <c r="C89" s="1" t="n">
        <v>0</v>
      </c>
      <c r="D89" s="1" t="n">
        <v>0</v>
      </c>
      <c r="E89" s="1" t="n">
        <v>0</v>
      </c>
      <c r="F89" s="1" t="n">
        <v>0</v>
      </c>
      <c r="G89" s="1" t="n">
        <v>0</v>
      </c>
      <c r="H89" s="1" t="n">
        <v>0</v>
      </c>
      <c r="I89" s="1" t="n">
        <v>0</v>
      </c>
      <c r="J89" s="1" t="n">
        <v>0</v>
      </c>
      <c r="K89" s="1" t="n">
        <v>0</v>
      </c>
      <c r="L89" s="1" t="n">
        <v>1</v>
      </c>
      <c r="M89" s="1" t="n">
        <v>0</v>
      </c>
    </row>
    <row r="90" customFormat="false" ht="15" hidden="false" customHeight="true" outlineLevel="0" collapsed="false">
      <c r="A90" s="1" t="s">
        <v>389</v>
      </c>
      <c r="B90" s="1" t="n">
        <v>0</v>
      </c>
      <c r="C90" s="1" t="n">
        <v>0</v>
      </c>
      <c r="D90" s="1" t="n">
        <v>0</v>
      </c>
      <c r="E90" s="1" t="n">
        <v>0</v>
      </c>
      <c r="F90" s="1" t="n">
        <v>0</v>
      </c>
      <c r="G90" s="1" t="n">
        <v>0</v>
      </c>
      <c r="H90" s="1" t="n">
        <v>0</v>
      </c>
      <c r="I90" s="1" t="n">
        <v>0</v>
      </c>
      <c r="J90" s="1" t="n">
        <v>0</v>
      </c>
      <c r="K90" s="1" t="n">
        <v>1</v>
      </c>
      <c r="L90" s="1" t="n">
        <v>0</v>
      </c>
      <c r="M90" s="1" t="n">
        <v>0</v>
      </c>
    </row>
    <row r="91" customFormat="false" ht="15" hidden="false" customHeight="true" outlineLevel="0" collapsed="false">
      <c r="A91" s="1" t="s">
        <v>393</v>
      </c>
      <c r="B91" s="1" t="n">
        <v>1</v>
      </c>
      <c r="C91" s="1" t="n">
        <v>0</v>
      </c>
      <c r="D91" s="1" t="n">
        <v>0</v>
      </c>
      <c r="E91" s="1" t="n">
        <v>0</v>
      </c>
      <c r="F91" s="1" t="n">
        <v>0</v>
      </c>
      <c r="G91" s="1" t="n">
        <v>0</v>
      </c>
      <c r="H91" s="1" t="n">
        <v>0</v>
      </c>
      <c r="I91" s="1" t="n">
        <v>0</v>
      </c>
      <c r="J91" s="1" t="n">
        <v>0</v>
      </c>
      <c r="K91" s="1" t="n">
        <v>1</v>
      </c>
      <c r="L91" s="1" t="n">
        <v>0</v>
      </c>
      <c r="M91" s="1" t="n">
        <v>0</v>
      </c>
    </row>
    <row r="92" customFormat="false" ht="15" hidden="false" customHeight="true" outlineLevel="0" collapsed="false">
      <c r="A92" s="1" t="s">
        <v>397</v>
      </c>
      <c r="B92" s="1" t="n">
        <v>0</v>
      </c>
      <c r="C92" s="1" t="n">
        <v>0</v>
      </c>
      <c r="D92" s="1" t="n">
        <v>0</v>
      </c>
      <c r="E92" s="1" t="n">
        <v>0</v>
      </c>
      <c r="F92" s="1" t="n">
        <v>0</v>
      </c>
      <c r="G92" s="1" t="n">
        <v>0</v>
      </c>
      <c r="H92" s="1" t="n">
        <v>0</v>
      </c>
      <c r="I92" s="1" t="n">
        <v>0</v>
      </c>
      <c r="J92" s="1" t="n">
        <v>1</v>
      </c>
      <c r="K92" s="1" t="n">
        <v>0</v>
      </c>
      <c r="L92" s="1" t="n">
        <v>0</v>
      </c>
      <c r="M92" s="1" t="n">
        <v>0</v>
      </c>
    </row>
    <row r="93" customFormat="false" ht="15" hidden="false" customHeight="true" outlineLevel="0" collapsed="false">
      <c r="A93" s="1" t="s">
        <v>401</v>
      </c>
      <c r="B93" s="1" t="n">
        <v>0</v>
      </c>
      <c r="C93" s="1" t="n">
        <v>0</v>
      </c>
      <c r="D93" s="1" t="n">
        <v>0</v>
      </c>
      <c r="E93" s="1" t="n">
        <v>0</v>
      </c>
      <c r="F93" s="1" t="n">
        <v>0</v>
      </c>
      <c r="G93" s="1" t="n">
        <v>0</v>
      </c>
      <c r="H93" s="1" t="n">
        <v>0</v>
      </c>
      <c r="I93" s="1" t="n">
        <v>0</v>
      </c>
      <c r="J93" s="1" t="n">
        <v>1</v>
      </c>
      <c r="K93" s="1" t="n">
        <v>0</v>
      </c>
      <c r="L93" s="1" t="n">
        <v>0</v>
      </c>
      <c r="M93" s="1" t="n">
        <v>0</v>
      </c>
    </row>
    <row r="94" customFormat="false" ht="15" hidden="false" customHeight="true" outlineLevel="0" collapsed="false">
      <c r="A94" s="1" t="s">
        <v>405</v>
      </c>
      <c r="B94" s="1" t="n">
        <v>0</v>
      </c>
      <c r="C94" s="1" t="n">
        <v>0</v>
      </c>
      <c r="D94" s="1" t="n">
        <v>1</v>
      </c>
      <c r="E94" s="1" t="n">
        <v>0</v>
      </c>
      <c r="F94" s="1" t="n">
        <v>0</v>
      </c>
      <c r="G94" s="1" t="n">
        <v>0</v>
      </c>
      <c r="H94" s="1" t="n">
        <v>0</v>
      </c>
      <c r="I94" s="1" t="n">
        <v>0</v>
      </c>
      <c r="J94" s="1" t="n">
        <v>0</v>
      </c>
      <c r="K94" s="1" t="n">
        <v>0</v>
      </c>
      <c r="L94" s="1" t="n">
        <v>0</v>
      </c>
      <c r="M94" s="1" t="n">
        <v>0</v>
      </c>
    </row>
    <row r="95" customFormat="false" ht="15" hidden="false" customHeight="true" outlineLevel="0" collapsed="false">
      <c r="A95" s="1" t="s">
        <v>409</v>
      </c>
      <c r="B95" s="1" t="n">
        <v>0</v>
      </c>
      <c r="C95" s="1" t="n">
        <v>0</v>
      </c>
      <c r="D95" s="1" t="n">
        <v>0</v>
      </c>
      <c r="E95" s="1" t="n">
        <v>0</v>
      </c>
      <c r="F95" s="1" t="n">
        <v>0</v>
      </c>
      <c r="G95" s="1" t="n">
        <v>1</v>
      </c>
      <c r="H95" s="1" t="n">
        <v>0</v>
      </c>
      <c r="I95" s="1" t="n">
        <v>0</v>
      </c>
      <c r="J95" s="1" t="n">
        <v>1</v>
      </c>
      <c r="K95" s="1" t="n">
        <v>0</v>
      </c>
      <c r="L95" s="1" t="n">
        <v>0</v>
      </c>
      <c r="M95" s="1" t="n">
        <v>1</v>
      </c>
    </row>
    <row r="96" customFormat="false" ht="15" hidden="false" customHeight="true" outlineLevel="0" collapsed="false">
      <c r="A96" s="1" t="s">
        <v>412</v>
      </c>
      <c r="B96" s="1" t="n">
        <v>0</v>
      </c>
      <c r="C96" s="1" t="n">
        <v>0</v>
      </c>
      <c r="D96" s="1" t="n">
        <v>0</v>
      </c>
      <c r="E96" s="1" t="n">
        <v>0</v>
      </c>
      <c r="F96" s="1" t="n">
        <v>0</v>
      </c>
      <c r="G96" s="1" t="n">
        <v>0</v>
      </c>
      <c r="H96" s="1" t="n">
        <v>0</v>
      </c>
      <c r="I96" s="1" t="n">
        <v>0</v>
      </c>
      <c r="J96" s="1" t="n">
        <v>1</v>
      </c>
      <c r="K96" s="1" t="n">
        <v>0</v>
      </c>
      <c r="L96" s="1" t="n">
        <v>0</v>
      </c>
      <c r="M96" s="1" t="n">
        <v>0</v>
      </c>
    </row>
    <row r="97" customFormat="false" ht="15" hidden="false" customHeight="true" outlineLevel="0" collapsed="false">
      <c r="A97" s="1" t="s">
        <v>416</v>
      </c>
      <c r="B97" s="1" t="n">
        <v>0</v>
      </c>
      <c r="C97" s="1" t="n">
        <v>0</v>
      </c>
      <c r="D97" s="1" t="n">
        <v>0</v>
      </c>
      <c r="E97" s="1" t="n">
        <v>0</v>
      </c>
      <c r="F97" s="1" t="n">
        <v>0</v>
      </c>
      <c r="G97" s="1" t="n">
        <v>1</v>
      </c>
      <c r="H97" s="1" t="n">
        <v>0</v>
      </c>
      <c r="I97" s="1" t="n">
        <v>0</v>
      </c>
      <c r="J97" s="1" t="n">
        <v>0</v>
      </c>
      <c r="K97" s="1" t="n">
        <v>0</v>
      </c>
      <c r="L97" s="1" t="n">
        <v>0</v>
      </c>
      <c r="M97" s="1" t="n">
        <v>1</v>
      </c>
    </row>
    <row r="98" customFormat="false" ht="15" hidden="false" customHeight="true" outlineLevel="0" collapsed="false">
      <c r="A98" s="1" t="s">
        <v>420</v>
      </c>
      <c r="B98" s="1" t="n">
        <v>0</v>
      </c>
      <c r="C98" s="1" t="n">
        <v>0</v>
      </c>
      <c r="D98" s="1" t="n">
        <v>0</v>
      </c>
      <c r="E98" s="1" t="n">
        <v>0</v>
      </c>
      <c r="F98" s="1" t="n">
        <v>0</v>
      </c>
      <c r="G98" s="1" t="n">
        <v>0</v>
      </c>
      <c r="H98" s="1" t="n">
        <v>0</v>
      </c>
      <c r="I98" s="1" t="n">
        <v>0</v>
      </c>
      <c r="J98" s="1" t="n">
        <v>1</v>
      </c>
      <c r="K98" s="1" t="n">
        <v>0</v>
      </c>
      <c r="L98" s="1" t="n">
        <v>0</v>
      </c>
      <c r="M98" s="1" t="n">
        <v>0</v>
      </c>
    </row>
    <row r="99" customFormat="false" ht="15" hidden="false" customHeight="true" outlineLevel="0" collapsed="false">
      <c r="A99" s="1" t="s">
        <v>423</v>
      </c>
      <c r="B99" s="1" t="n">
        <v>0</v>
      </c>
      <c r="C99" s="1" t="n">
        <v>0</v>
      </c>
      <c r="D99" s="1" t="n">
        <v>0</v>
      </c>
      <c r="E99" s="1" t="n">
        <v>0</v>
      </c>
      <c r="F99" s="1" t="n">
        <v>0</v>
      </c>
      <c r="G99" s="1" t="n">
        <v>0</v>
      </c>
      <c r="H99" s="1" t="n">
        <v>0</v>
      </c>
      <c r="I99" s="1" t="n">
        <v>0</v>
      </c>
      <c r="J99" s="1" t="n">
        <v>1</v>
      </c>
      <c r="K99" s="1" t="n">
        <v>0</v>
      </c>
      <c r="L99" s="1" t="n">
        <v>0</v>
      </c>
      <c r="M99" s="1" t="n">
        <v>0</v>
      </c>
    </row>
    <row r="100" customFormat="false" ht="15" hidden="false" customHeight="true" outlineLevel="0" collapsed="false">
      <c r="A100" s="1" t="s">
        <v>426</v>
      </c>
      <c r="B100" s="1" t="n">
        <v>0</v>
      </c>
      <c r="C100" s="1" t="n">
        <v>0</v>
      </c>
      <c r="D100" s="1" t="n">
        <v>0</v>
      </c>
      <c r="E100" s="1" t="n">
        <v>0</v>
      </c>
      <c r="F100" s="1" t="n">
        <v>0</v>
      </c>
      <c r="G100" s="1" t="n">
        <v>1</v>
      </c>
      <c r="H100" s="1" t="n">
        <v>0</v>
      </c>
      <c r="I100" s="1" t="n">
        <v>0</v>
      </c>
      <c r="J100" s="1" t="n">
        <v>0</v>
      </c>
      <c r="K100" s="1" t="n">
        <v>1</v>
      </c>
      <c r="L100" s="1" t="n">
        <v>1</v>
      </c>
      <c r="M100" s="1" t="n">
        <v>1</v>
      </c>
    </row>
    <row r="101" customFormat="false" ht="15" hidden="false" customHeight="true" outlineLevel="0" collapsed="false">
      <c r="A101" s="1" t="s">
        <v>429</v>
      </c>
      <c r="B101" s="1" t="n">
        <v>0</v>
      </c>
      <c r="C101" s="1" t="n">
        <v>0</v>
      </c>
      <c r="D101" s="1" t="n">
        <v>0</v>
      </c>
      <c r="E101" s="1" t="n">
        <v>0</v>
      </c>
      <c r="F101" s="1" t="n">
        <v>0</v>
      </c>
      <c r="G101" s="1" t="n">
        <v>0</v>
      </c>
      <c r="H101" s="1" t="n">
        <v>0</v>
      </c>
      <c r="I101" s="1" t="n">
        <v>0</v>
      </c>
      <c r="J101" s="1" t="n">
        <v>0</v>
      </c>
      <c r="K101" s="1" t="n">
        <v>1</v>
      </c>
      <c r="L101" s="1" t="n">
        <v>1</v>
      </c>
      <c r="M101" s="1" t="n">
        <v>1</v>
      </c>
    </row>
    <row r="102" customFormat="false" ht="15" hidden="false" customHeight="true" outlineLevel="0" collapsed="false">
      <c r="A102" s="1" t="s">
        <v>432</v>
      </c>
      <c r="B102" s="1" t="n">
        <v>0</v>
      </c>
      <c r="C102" s="1" t="n">
        <v>0</v>
      </c>
      <c r="D102" s="1" t="n">
        <v>0</v>
      </c>
      <c r="E102" s="1" t="n">
        <v>0</v>
      </c>
      <c r="F102" s="1" t="n">
        <v>0</v>
      </c>
      <c r="G102" s="1" t="n">
        <v>0</v>
      </c>
      <c r="H102" s="1" t="n">
        <v>0</v>
      </c>
      <c r="I102" s="1" t="n">
        <v>0</v>
      </c>
      <c r="J102" s="1" t="n">
        <v>0</v>
      </c>
      <c r="K102" s="1" t="n">
        <v>1</v>
      </c>
      <c r="L102" s="1" t="n">
        <v>0</v>
      </c>
      <c r="M102" s="1" t="n">
        <v>0</v>
      </c>
    </row>
    <row r="103" customFormat="false" ht="15" hidden="false" customHeight="true" outlineLevel="0" collapsed="false">
      <c r="A103" s="1" t="s">
        <v>436</v>
      </c>
      <c r="B103" s="1" t="n">
        <v>0</v>
      </c>
      <c r="C103" s="1" t="n">
        <v>0</v>
      </c>
      <c r="D103" s="1" t="n">
        <v>0</v>
      </c>
      <c r="E103" s="1" t="n">
        <v>0</v>
      </c>
      <c r="F103" s="1" t="n">
        <v>0</v>
      </c>
      <c r="G103" s="1" t="n">
        <v>0</v>
      </c>
      <c r="H103" s="1" t="n">
        <v>0</v>
      </c>
      <c r="I103" s="1" t="n">
        <v>0</v>
      </c>
      <c r="J103" s="1" t="n">
        <v>0</v>
      </c>
      <c r="K103" s="1" t="n">
        <v>0</v>
      </c>
      <c r="L103" s="1" t="n">
        <v>1</v>
      </c>
      <c r="M103" s="1" t="n">
        <v>0</v>
      </c>
    </row>
    <row r="104" customFormat="false" ht="15" hidden="false" customHeight="true" outlineLevel="0" collapsed="false">
      <c r="A104" s="1" t="s">
        <v>440</v>
      </c>
      <c r="B104" s="1" t="n">
        <v>0</v>
      </c>
      <c r="C104" s="1" t="n">
        <v>0</v>
      </c>
      <c r="D104" s="1" t="n">
        <v>0</v>
      </c>
      <c r="E104" s="1" t="n">
        <v>0</v>
      </c>
      <c r="F104" s="1" t="n">
        <v>0</v>
      </c>
      <c r="G104" s="1" t="n">
        <v>0</v>
      </c>
      <c r="H104" s="1" t="n">
        <v>0</v>
      </c>
      <c r="I104" s="1" t="n">
        <v>0</v>
      </c>
      <c r="J104" s="1" t="n">
        <v>0</v>
      </c>
      <c r="K104" s="1" t="n">
        <v>0</v>
      </c>
      <c r="L104" s="1" t="n">
        <v>0</v>
      </c>
      <c r="M104" s="1" t="n">
        <v>1</v>
      </c>
    </row>
    <row r="105" customFormat="false" ht="15" hidden="false" customHeight="true" outlineLevel="0" collapsed="false">
      <c r="A105" s="1" t="s">
        <v>444</v>
      </c>
      <c r="B105" s="1" t="n">
        <v>0</v>
      </c>
      <c r="C105" s="1" t="n">
        <v>0</v>
      </c>
      <c r="D105" s="1" t="n">
        <v>0</v>
      </c>
      <c r="E105" s="1" t="n">
        <v>0</v>
      </c>
      <c r="F105" s="1" t="n">
        <v>0</v>
      </c>
      <c r="G105" s="1" t="n">
        <v>1</v>
      </c>
      <c r="H105" s="1" t="n">
        <v>0</v>
      </c>
      <c r="I105" s="1" t="n">
        <v>0</v>
      </c>
      <c r="J105" s="1" t="n">
        <v>0</v>
      </c>
      <c r="K105" s="1" t="n">
        <v>1</v>
      </c>
      <c r="L105" s="1" t="n">
        <v>1</v>
      </c>
      <c r="M105" s="1" t="n">
        <v>1</v>
      </c>
    </row>
    <row r="106" customFormat="false" ht="15" hidden="false" customHeight="true" outlineLevel="0" collapsed="false">
      <c r="A106" s="1" t="s">
        <v>447</v>
      </c>
      <c r="B106" s="1" t="n">
        <v>0</v>
      </c>
      <c r="C106" s="1" t="n">
        <v>0</v>
      </c>
      <c r="D106" s="1" t="n">
        <v>0</v>
      </c>
      <c r="E106" s="1" t="n">
        <v>0</v>
      </c>
      <c r="F106" s="1" t="n">
        <v>0</v>
      </c>
      <c r="G106" s="1" t="n">
        <v>0</v>
      </c>
      <c r="H106" s="1" t="n">
        <v>0</v>
      </c>
      <c r="I106" s="1" t="n">
        <v>0</v>
      </c>
      <c r="J106" s="1" t="n">
        <v>0</v>
      </c>
      <c r="K106" s="1" t="n">
        <v>1</v>
      </c>
      <c r="L106" s="1" t="n">
        <v>0</v>
      </c>
      <c r="M106" s="1" t="n">
        <v>0</v>
      </c>
    </row>
    <row r="107" customFormat="false" ht="15" hidden="false" customHeight="true" outlineLevel="0" collapsed="false">
      <c r="A107" s="1" t="s">
        <v>451</v>
      </c>
      <c r="B107" s="1" t="n">
        <v>0</v>
      </c>
      <c r="C107" s="1" t="n">
        <v>0</v>
      </c>
      <c r="D107" s="1" t="n">
        <v>0</v>
      </c>
      <c r="E107" s="1" t="n">
        <v>0</v>
      </c>
      <c r="F107" s="1" t="n">
        <v>0</v>
      </c>
      <c r="G107" s="1" t="n">
        <v>0</v>
      </c>
      <c r="H107" s="1" t="n">
        <v>0</v>
      </c>
      <c r="I107" s="1" t="n">
        <v>0</v>
      </c>
      <c r="J107" s="1" t="n">
        <v>0</v>
      </c>
      <c r="K107" s="1" t="n">
        <v>0</v>
      </c>
      <c r="L107" s="1" t="n">
        <v>1</v>
      </c>
      <c r="M107" s="1" t="n">
        <v>0</v>
      </c>
    </row>
    <row r="108" customFormat="false" ht="15" hidden="false" customHeight="true" outlineLevel="0" collapsed="false">
      <c r="A108" s="1" t="s">
        <v>455</v>
      </c>
      <c r="B108" s="1" t="n">
        <v>0</v>
      </c>
      <c r="C108" s="1" t="n">
        <v>0</v>
      </c>
      <c r="D108" s="1" t="n">
        <v>0</v>
      </c>
      <c r="E108" s="1" t="n">
        <v>0</v>
      </c>
      <c r="F108" s="1" t="n">
        <v>0</v>
      </c>
      <c r="G108" s="1" t="n">
        <v>1</v>
      </c>
      <c r="H108" s="1" t="n">
        <v>0</v>
      </c>
      <c r="I108" s="1" t="n">
        <v>0</v>
      </c>
      <c r="J108" s="1" t="n">
        <v>0</v>
      </c>
      <c r="K108" s="1" t="n">
        <v>0</v>
      </c>
      <c r="L108" s="1" t="n">
        <v>0</v>
      </c>
      <c r="M108" s="1" t="n">
        <v>1</v>
      </c>
    </row>
    <row r="109" customFormat="false" ht="15" hidden="false" customHeight="true" outlineLevel="0" collapsed="false">
      <c r="A109" s="1" t="s">
        <v>459</v>
      </c>
      <c r="B109" s="1" t="n">
        <v>0</v>
      </c>
      <c r="C109" s="1" t="n">
        <v>0</v>
      </c>
      <c r="D109" s="1" t="n">
        <v>0</v>
      </c>
      <c r="E109" s="1" t="n">
        <v>0</v>
      </c>
      <c r="F109" s="1" t="n">
        <v>0</v>
      </c>
      <c r="G109" s="1" t="n">
        <v>0</v>
      </c>
      <c r="H109" s="1" t="n">
        <v>0</v>
      </c>
      <c r="I109" s="1" t="n">
        <v>0</v>
      </c>
      <c r="J109" s="1" t="n">
        <v>0</v>
      </c>
      <c r="K109" s="1" t="n">
        <v>1</v>
      </c>
      <c r="L109" s="1" t="n">
        <v>1</v>
      </c>
      <c r="M109" s="1" t="n">
        <v>1</v>
      </c>
    </row>
    <row r="110" customFormat="false" ht="15" hidden="false" customHeight="true" outlineLevel="0" collapsed="false">
      <c r="A110" s="1" t="s">
        <v>462</v>
      </c>
      <c r="B110" s="1" t="n">
        <v>0</v>
      </c>
      <c r="C110" s="1" t="n">
        <v>0</v>
      </c>
      <c r="D110" s="1" t="n">
        <v>0</v>
      </c>
      <c r="E110" s="1" t="n">
        <v>0</v>
      </c>
      <c r="F110" s="1" t="n">
        <v>0</v>
      </c>
      <c r="G110" s="1" t="n">
        <v>0</v>
      </c>
      <c r="H110" s="1" t="n">
        <v>0</v>
      </c>
      <c r="I110" s="1" t="n">
        <v>0</v>
      </c>
      <c r="J110" s="1" t="n">
        <v>0</v>
      </c>
      <c r="K110" s="1" t="n">
        <v>1</v>
      </c>
      <c r="L110" s="1" t="n">
        <v>1</v>
      </c>
      <c r="M110" s="1" t="n">
        <v>1</v>
      </c>
    </row>
    <row r="111" customFormat="false" ht="15" hidden="false" customHeight="true" outlineLevel="0" collapsed="false">
      <c r="A111" s="1" t="s">
        <v>465</v>
      </c>
      <c r="B111" s="1" t="n">
        <v>0</v>
      </c>
      <c r="C111" s="1" t="n">
        <v>0</v>
      </c>
      <c r="D111" s="1" t="n">
        <v>0</v>
      </c>
      <c r="E111" s="1" t="n">
        <v>0</v>
      </c>
      <c r="F111" s="1" t="n">
        <v>0</v>
      </c>
      <c r="G111" s="1" t="n">
        <v>0</v>
      </c>
      <c r="H111" s="1" t="n">
        <v>0</v>
      </c>
      <c r="I111" s="1" t="n">
        <v>0</v>
      </c>
      <c r="J111" s="1" t="n">
        <v>0</v>
      </c>
      <c r="K111" s="1" t="n">
        <v>1</v>
      </c>
      <c r="L111" s="1" t="n">
        <v>0</v>
      </c>
      <c r="M111" s="1" t="n">
        <v>0</v>
      </c>
    </row>
    <row r="112" customFormat="false" ht="15" hidden="false" customHeight="true" outlineLevel="0" collapsed="false">
      <c r="A112" s="1" t="s">
        <v>469</v>
      </c>
      <c r="B112" s="1" t="n">
        <v>0</v>
      </c>
      <c r="C112" s="1" t="n">
        <v>0</v>
      </c>
      <c r="D112" s="1" t="n">
        <v>0</v>
      </c>
      <c r="E112" s="1" t="n">
        <v>0</v>
      </c>
      <c r="F112" s="1" t="n">
        <v>0</v>
      </c>
      <c r="G112" s="1" t="n">
        <v>0</v>
      </c>
      <c r="H112" s="1" t="n">
        <v>0</v>
      </c>
      <c r="I112" s="1" t="n">
        <v>0</v>
      </c>
      <c r="J112" s="1" t="n">
        <v>0</v>
      </c>
      <c r="K112" s="1" t="n">
        <v>0</v>
      </c>
      <c r="L112" s="1" t="n">
        <v>1</v>
      </c>
      <c r="M112" s="1" t="n">
        <v>0</v>
      </c>
    </row>
    <row r="113" customFormat="false" ht="15" hidden="false" customHeight="true" outlineLevel="0" collapsed="false">
      <c r="A113" s="1" t="s">
        <v>473</v>
      </c>
      <c r="B113" s="1" t="n">
        <v>0</v>
      </c>
      <c r="C113" s="1" t="n">
        <v>0</v>
      </c>
      <c r="D113" s="1" t="n">
        <v>0</v>
      </c>
      <c r="E113" s="1" t="n">
        <v>0</v>
      </c>
      <c r="F113" s="1" t="n">
        <v>0</v>
      </c>
      <c r="G113" s="1" t="n">
        <v>0</v>
      </c>
      <c r="H113" s="1" t="n">
        <v>0</v>
      </c>
      <c r="I113" s="1" t="n">
        <v>0</v>
      </c>
      <c r="J113" s="1" t="n">
        <v>0</v>
      </c>
      <c r="K113" s="1" t="n">
        <v>0</v>
      </c>
      <c r="L113" s="1" t="n">
        <v>0</v>
      </c>
      <c r="M113" s="1" t="n">
        <v>1</v>
      </c>
    </row>
    <row r="114" customFormat="false" ht="15" hidden="false" customHeight="true" outlineLevel="0" collapsed="false">
      <c r="A114" s="1" t="s">
        <v>476</v>
      </c>
      <c r="B114" s="1" t="n">
        <v>0</v>
      </c>
      <c r="C114" s="1" t="n">
        <v>0</v>
      </c>
      <c r="D114" s="1" t="n">
        <v>0</v>
      </c>
      <c r="E114" s="1" t="n">
        <v>0</v>
      </c>
      <c r="F114" s="1" t="n">
        <v>0</v>
      </c>
      <c r="G114" s="1" t="n">
        <v>0</v>
      </c>
      <c r="H114" s="1" t="n">
        <v>0</v>
      </c>
      <c r="I114" s="1" t="n">
        <v>0</v>
      </c>
      <c r="J114" s="1" t="n">
        <v>0</v>
      </c>
      <c r="K114" s="1" t="n">
        <v>1</v>
      </c>
      <c r="L114" s="1" t="n">
        <v>1</v>
      </c>
      <c r="M114" s="1" t="n">
        <v>1</v>
      </c>
    </row>
    <row r="115" customFormat="false" ht="15" hidden="false" customHeight="true" outlineLevel="0" collapsed="false">
      <c r="A115" s="1" t="s">
        <v>479</v>
      </c>
      <c r="B115" s="1" t="n">
        <v>0</v>
      </c>
      <c r="C115" s="1" t="n">
        <v>0</v>
      </c>
      <c r="D115" s="1" t="n">
        <v>0</v>
      </c>
      <c r="E115" s="1" t="n">
        <v>0</v>
      </c>
      <c r="F115" s="1" t="n">
        <v>0</v>
      </c>
      <c r="G115" s="1" t="n">
        <v>0</v>
      </c>
      <c r="H115" s="1" t="n">
        <v>0</v>
      </c>
      <c r="I115" s="1" t="n">
        <v>0</v>
      </c>
      <c r="J115" s="1" t="n">
        <v>0</v>
      </c>
      <c r="K115" s="1" t="n">
        <v>1</v>
      </c>
      <c r="L115" s="1" t="n">
        <v>0</v>
      </c>
      <c r="M115" s="1" t="n">
        <v>0</v>
      </c>
    </row>
    <row r="116" customFormat="false" ht="15" hidden="false" customHeight="true" outlineLevel="0" collapsed="false">
      <c r="A116" s="1" t="s">
        <v>482</v>
      </c>
      <c r="B116" s="1" t="n">
        <v>0</v>
      </c>
      <c r="C116" s="1" t="n">
        <v>0</v>
      </c>
      <c r="D116" s="1" t="n">
        <v>0</v>
      </c>
      <c r="E116" s="1" t="n">
        <v>0</v>
      </c>
      <c r="F116" s="1" t="n">
        <v>0</v>
      </c>
      <c r="G116" s="1" t="n">
        <v>0</v>
      </c>
      <c r="H116" s="1" t="n">
        <v>0</v>
      </c>
      <c r="I116" s="1" t="n">
        <v>0</v>
      </c>
      <c r="J116" s="1" t="n">
        <v>0</v>
      </c>
      <c r="K116" s="1" t="n">
        <v>0</v>
      </c>
      <c r="L116" s="1" t="n">
        <v>1</v>
      </c>
      <c r="M116" s="1" t="n">
        <v>0</v>
      </c>
    </row>
    <row r="117" customFormat="false" ht="15" hidden="false" customHeight="true" outlineLevel="0" collapsed="false">
      <c r="A117" s="1" t="s">
        <v>485</v>
      </c>
      <c r="B117" s="1" t="n">
        <v>0</v>
      </c>
      <c r="C117" s="1" t="n">
        <v>0</v>
      </c>
      <c r="D117" s="1" t="n">
        <v>0</v>
      </c>
      <c r="E117" s="1" t="n">
        <v>0</v>
      </c>
      <c r="F117" s="1" t="n">
        <v>0</v>
      </c>
      <c r="G117" s="1" t="n">
        <v>0</v>
      </c>
      <c r="H117" s="1" t="n">
        <v>0</v>
      </c>
      <c r="I117" s="1" t="n">
        <v>0</v>
      </c>
      <c r="J117" s="1" t="n">
        <v>0</v>
      </c>
      <c r="K117" s="1" t="n">
        <v>0</v>
      </c>
      <c r="L117" s="1" t="n">
        <v>0</v>
      </c>
      <c r="M117" s="1" t="n">
        <v>1</v>
      </c>
    </row>
    <row r="118" customFormat="false" ht="15" hidden="false" customHeight="true" outlineLevel="0" collapsed="false">
      <c r="A118" s="1" t="s">
        <v>488</v>
      </c>
      <c r="B118" s="1" t="n">
        <v>0</v>
      </c>
      <c r="C118" s="1" t="n">
        <v>0</v>
      </c>
      <c r="D118" s="1" t="n">
        <v>0</v>
      </c>
      <c r="E118" s="1" t="n">
        <v>0</v>
      </c>
      <c r="F118" s="1" t="n">
        <v>0</v>
      </c>
      <c r="G118" s="1" t="n">
        <v>0</v>
      </c>
      <c r="H118" s="1" t="n">
        <v>0</v>
      </c>
      <c r="I118" s="1" t="n">
        <v>0</v>
      </c>
      <c r="J118" s="1" t="n">
        <v>0</v>
      </c>
      <c r="K118" s="1" t="n">
        <v>0</v>
      </c>
      <c r="L118" s="1" t="n">
        <v>0</v>
      </c>
      <c r="M118" s="1" t="n">
        <v>1</v>
      </c>
    </row>
    <row r="119" customFormat="false" ht="15" hidden="false" customHeight="true" outlineLevel="0" collapsed="false">
      <c r="A119" s="1" t="s">
        <v>491</v>
      </c>
      <c r="B119" s="1" t="n">
        <v>0</v>
      </c>
      <c r="C119" s="1" t="n">
        <v>0</v>
      </c>
      <c r="D119" s="1" t="n">
        <v>0</v>
      </c>
      <c r="E119" s="1" t="n">
        <v>0</v>
      </c>
      <c r="F119" s="1" t="n">
        <v>0</v>
      </c>
      <c r="G119" s="1" t="n">
        <v>0</v>
      </c>
      <c r="H119" s="1" t="n">
        <v>0</v>
      </c>
      <c r="I119" s="1" t="n">
        <v>0</v>
      </c>
      <c r="J119" s="1" t="n">
        <v>0</v>
      </c>
      <c r="K119" s="1" t="n">
        <v>0</v>
      </c>
      <c r="L119" s="1" t="n">
        <v>0</v>
      </c>
      <c r="M119" s="1" t="n">
        <v>1</v>
      </c>
    </row>
    <row r="120" customFormat="false" ht="15" hidden="false" customHeight="true" outlineLevel="0" collapsed="false">
      <c r="A120" s="1" t="s">
        <v>494</v>
      </c>
      <c r="B120" s="1" t="n">
        <v>0</v>
      </c>
      <c r="C120" s="1" t="n">
        <v>0</v>
      </c>
      <c r="D120" s="1" t="n">
        <v>0</v>
      </c>
      <c r="E120" s="1" t="n">
        <v>0</v>
      </c>
      <c r="F120" s="1" t="n">
        <v>0</v>
      </c>
      <c r="G120" s="1" t="n">
        <v>0</v>
      </c>
      <c r="H120" s="1" t="n">
        <v>0</v>
      </c>
      <c r="I120" s="1" t="n">
        <v>0</v>
      </c>
      <c r="J120" s="1" t="n">
        <v>0</v>
      </c>
      <c r="K120" s="1" t="n">
        <v>0</v>
      </c>
      <c r="L120" s="1" t="n">
        <v>0</v>
      </c>
      <c r="M120" s="1" t="n">
        <v>1</v>
      </c>
    </row>
    <row r="121" customFormat="false" ht="15" hidden="false" customHeight="true" outlineLevel="0" collapsed="false">
      <c r="A121" s="1" t="s">
        <v>498</v>
      </c>
      <c r="B121" s="1" t="n">
        <v>0</v>
      </c>
      <c r="C121" s="1" t="n">
        <v>0</v>
      </c>
      <c r="D121" s="1" t="n">
        <v>0</v>
      </c>
      <c r="E121" s="1" t="n">
        <v>0</v>
      </c>
      <c r="F121" s="1" t="n">
        <v>0</v>
      </c>
      <c r="G121" s="1" t="n">
        <v>0</v>
      </c>
      <c r="H121" s="1" t="n">
        <v>0</v>
      </c>
      <c r="I121" s="1" t="n">
        <v>0</v>
      </c>
      <c r="J121" s="1" t="n">
        <v>0</v>
      </c>
      <c r="K121" s="1" t="n">
        <v>0</v>
      </c>
      <c r="L121" s="1" t="n">
        <v>0</v>
      </c>
      <c r="M121" s="1" t="n">
        <v>1</v>
      </c>
    </row>
    <row r="122" customFormat="false" ht="15" hidden="false" customHeight="true" outlineLevel="0" collapsed="false">
      <c r="A122" s="1" t="s">
        <v>501</v>
      </c>
      <c r="B122" s="1" t="n">
        <v>0</v>
      </c>
      <c r="C122" s="1" t="n">
        <v>0</v>
      </c>
      <c r="D122" s="1" t="n">
        <v>0</v>
      </c>
      <c r="E122" s="1" t="n">
        <v>0</v>
      </c>
      <c r="F122" s="1" t="n">
        <v>0</v>
      </c>
      <c r="G122" s="1" t="n">
        <v>0</v>
      </c>
      <c r="H122" s="1" t="n">
        <v>0</v>
      </c>
      <c r="I122" s="1" t="n">
        <v>0</v>
      </c>
      <c r="J122" s="1" t="n">
        <v>0</v>
      </c>
      <c r="K122" s="1" t="n">
        <v>0</v>
      </c>
      <c r="L122" s="1" t="n">
        <v>0</v>
      </c>
      <c r="M122" s="1" t="n">
        <v>1</v>
      </c>
    </row>
    <row r="123" customFormat="false" ht="15" hidden="false" customHeight="true" outlineLevel="0" collapsed="false">
      <c r="A123" s="1" t="s">
        <v>504</v>
      </c>
      <c r="B123" s="1" t="n">
        <v>0</v>
      </c>
      <c r="C123" s="1" t="n">
        <v>0</v>
      </c>
      <c r="D123" s="1" t="n">
        <v>0</v>
      </c>
      <c r="E123" s="1" t="n">
        <v>0</v>
      </c>
      <c r="F123" s="1" t="n">
        <v>0</v>
      </c>
      <c r="G123" s="1" t="n">
        <v>0</v>
      </c>
      <c r="H123" s="1" t="n">
        <v>0</v>
      </c>
      <c r="I123" s="1" t="n">
        <v>0</v>
      </c>
      <c r="J123" s="1" t="n">
        <v>0</v>
      </c>
      <c r="K123" s="1" t="n">
        <v>0</v>
      </c>
      <c r="L123" s="1" t="n">
        <v>0</v>
      </c>
      <c r="M123" s="1" t="n">
        <v>1</v>
      </c>
    </row>
    <row r="124" customFormat="false" ht="15" hidden="false" customHeight="true" outlineLevel="0" collapsed="false">
      <c r="A124" s="1" t="s">
        <v>507</v>
      </c>
      <c r="B124" s="1" t="n">
        <v>0</v>
      </c>
      <c r="C124" s="1" t="n">
        <v>0</v>
      </c>
      <c r="D124" s="1" t="n">
        <v>0</v>
      </c>
      <c r="E124" s="1" t="n">
        <v>0</v>
      </c>
      <c r="F124" s="1" t="n">
        <v>0</v>
      </c>
      <c r="G124" s="1" t="n">
        <v>0</v>
      </c>
      <c r="H124" s="1" t="n">
        <v>0</v>
      </c>
      <c r="I124" s="1" t="n">
        <v>0</v>
      </c>
      <c r="J124" s="1" t="n">
        <v>0</v>
      </c>
      <c r="K124" s="1" t="n">
        <v>0</v>
      </c>
      <c r="L124" s="1" t="n">
        <v>0</v>
      </c>
      <c r="M124" s="1" t="n">
        <v>1</v>
      </c>
    </row>
    <row r="125" customFormat="false" ht="15" hidden="false" customHeight="true" outlineLevel="0" collapsed="false">
      <c r="A125" s="1" t="s">
        <v>510</v>
      </c>
      <c r="B125" s="1" t="n">
        <v>0</v>
      </c>
      <c r="C125" s="1" t="n">
        <v>0</v>
      </c>
      <c r="D125" s="1" t="n">
        <v>0</v>
      </c>
      <c r="E125" s="1" t="n">
        <v>0</v>
      </c>
      <c r="F125" s="1" t="n">
        <v>0</v>
      </c>
      <c r="G125" s="1" t="n">
        <v>1</v>
      </c>
      <c r="H125" s="1" t="n">
        <v>0</v>
      </c>
      <c r="I125" s="1" t="n">
        <v>0</v>
      </c>
      <c r="J125" s="1" t="n">
        <v>0</v>
      </c>
      <c r="K125" s="1" t="n">
        <v>0</v>
      </c>
      <c r="L125" s="1" t="n">
        <v>0</v>
      </c>
      <c r="M125" s="1" t="n">
        <v>1</v>
      </c>
    </row>
    <row r="126" customFormat="false" ht="15" hidden="false" customHeight="true" outlineLevel="0" collapsed="false">
      <c r="A126" s="1" t="s">
        <v>513</v>
      </c>
      <c r="B126" s="1" t="n">
        <v>0</v>
      </c>
      <c r="C126" s="1" t="n">
        <v>0</v>
      </c>
      <c r="D126" s="1" t="n">
        <v>0</v>
      </c>
      <c r="E126" s="1" t="n">
        <v>0</v>
      </c>
      <c r="F126" s="1" t="n">
        <v>0</v>
      </c>
      <c r="G126" s="1" t="n">
        <v>1</v>
      </c>
      <c r="H126" s="1" t="n">
        <v>0</v>
      </c>
      <c r="I126" s="1" t="n">
        <v>0</v>
      </c>
      <c r="J126" s="1" t="n">
        <v>0</v>
      </c>
      <c r="K126" s="1" t="n">
        <v>0</v>
      </c>
      <c r="L126" s="1" t="n">
        <v>0</v>
      </c>
      <c r="M126" s="1" t="n">
        <v>1</v>
      </c>
    </row>
    <row r="127" customFormat="false" ht="15" hidden="false" customHeight="true" outlineLevel="0" collapsed="false">
      <c r="A127" s="1" t="s">
        <v>516</v>
      </c>
      <c r="B127" s="1" t="n">
        <v>0</v>
      </c>
      <c r="C127" s="1" t="n">
        <v>0</v>
      </c>
      <c r="D127" s="1" t="n">
        <v>0</v>
      </c>
      <c r="E127" s="1" t="n">
        <v>0</v>
      </c>
      <c r="F127" s="1" t="n">
        <v>0</v>
      </c>
      <c r="G127" s="1" t="n">
        <v>1</v>
      </c>
      <c r="H127" s="1" t="n">
        <v>0</v>
      </c>
      <c r="I127" s="1" t="n">
        <v>0</v>
      </c>
      <c r="J127" s="1" t="n">
        <v>0</v>
      </c>
      <c r="K127" s="1" t="n">
        <v>0</v>
      </c>
      <c r="L127" s="1" t="n">
        <v>0</v>
      </c>
      <c r="M127" s="1" t="n">
        <v>1</v>
      </c>
    </row>
    <row r="128" customFormat="false" ht="15" hidden="false" customHeight="true" outlineLevel="0" collapsed="false">
      <c r="A128" s="1" t="s">
        <v>520</v>
      </c>
      <c r="B128" s="1" t="n">
        <v>0</v>
      </c>
      <c r="C128" s="1" t="n">
        <v>0</v>
      </c>
      <c r="D128" s="1" t="n">
        <v>0</v>
      </c>
      <c r="E128" s="1" t="n">
        <v>0</v>
      </c>
      <c r="F128" s="1" t="n">
        <v>0</v>
      </c>
      <c r="G128" s="1" t="n">
        <v>1</v>
      </c>
      <c r="H128" s="1" t="n">
        <v>0</v>
      </c>
      <c r="I128" s="1" t="n">
        <v>0</v>
      </c>
      <c r="J128" s="1" t="n">
        <v>0</v>
      </c>
      <c r="K128" s="1" t="n">
        <v>0</v>
      </c>
      <c r="L128" s="1" t="n">
        <v>0</v>
      </c>
      <c r="M128" s="1" t="n">
        <v>1</v>
      </c>
    </row>
    <row r="129" customFormat="false" ht="15" hidden="false" customHeight="true" outlineLevel="0" collapsed="false">
      <c r="A129" s="1" t="s">
        <v>523</v>
      </c>
      <c r="B129" s="1" t="n">
        <v>0</v>
      </c>
      <c r="C129" s="1" t="n">
        <v>0</v>
      </c>
      <c r="D129" s="1" t="n">
        <v>0</v>
      </c>
      <c r="E129" s="1" t="n">
        <v>0</v>
      </c>
      <c r="F129" s="1" t="n">
        <v>0</v>
      </c>
      <c r="G129" s="1" t="n">
        <v>1</v>
      </c>
      <c r="H129" s="1" t="n">
        <v>0</v>
      </c>
      <c r="I129" s="1" t="n">
        <v>0</v>
      </c>
      <c r="J129" s="1" t="n">
        <v>0</v>
      </c>
      <c r="K129" s="1" t="n">
        <v>0</v>
      </c>
      <c r="L129" s="1" t="n">
        <v>0</v>
      </c>
      <c r="M129" s="1" t="n">
        <v>1</v>
      </c>
    </row>
    <row r="130" customFormat="false" ht="15" hidden="false" customHeight="true" outlineLevel="0" collapsed="false">
      <c r="A130" s="1" t="s">
        <v>526</v>
      </c>
      <c r="B130" s="1" t="n">
        <v>0</v>
      </c>
      <c r="C130" s="1" t="n">
        <v>0</v>
      </c>
      <c r="D130" s="1" t="n">
        <v>0</v>
      </c>
      <c r="E130" s="1" t="n">
        <v>0</v>
      </c>
      <c r="F130" s="1" t="n">
        <v>0</v>
      </c>
      <c r="G130" s="1" t="n">
        <v>1</v>
      </c>
      <c r="H130" s="1" t="n">
        <v>0</v>
      </c>
      <c r="I130" s="1" t="n">
        <v>0</v>
      </c>
      <c r="J130" s="1" t="n">
        <v>0</v>
      </c>
      <c r="K130" s="1" t="n">
        <v>0</v>
      </c>
      <c r="L130" s="1" t="n">
        <v>0</v>
      </c>
      <c r="M130" s="1" t="n">
        <v>1</v>
      </c>
    </row>
    <row r="131" customFormat="false" ht="15" hidden="false" customHeight="true" outlineLevel="0" collapsed="false">
      <c r="A131" s="1" t="s">
        <v>530</v>
      </c>
      <c r="B131" s="1" t="n">
        <v>0</v>
      </c>
      <c r="C131" s="1" t="n">
        <v>0</v>
      </c>
      <c r="D131" s="1" t="n">
        <v>0</v>
      </c>
      <c r="E131" s="1" t="n">
        <v>0</v>
      </c>
      <c r="F131" s="1" t="n">
        <v>0</v>
      </c>
      <c r="G131" s="1" t="n">
        <v>1</v>
      </c>
      <c r="H131" s="1" t="n">
        <v>0</v>
      </c>
      <c r="I131" s="1" t="n">
        <v>0</v>
      </c>
      <c r="J131" s="1" t="n">
        <v>0</v>
      </c>
      <c r="K131" s="1" t="n">
        <v>0</v>
      </c>
      <c r="L131" s="1" t="n">
        <v>0</v>
      </c>
      <c r="M131" s="1" t="n">
        <v>1</v>
      </c>
    </row>
    <row r="132" customFormat="false" ht="15" hidden="false" customHeight="true" outlineLevel="0" collapsed="false">
      <c r="A132" s="1" t="s">
        <v>533</v>
      </c>
      <c r="B132" s="1" t="n">
        <v>0</v>
      </c>
      <c r="C132" s="1" t="n">
        <v>0</v>
      </c>
      <c r="D132" s="1" t="n">
        <v>0</v>
      </c>
      <c r="E132" s="1" t="n">
        <v>0</v>
      </c>
      <c r="F132" s="1" t="n">
        <v>0</v>
      </c>
      <c r="G132" s="1" t="n">
        <v>0</v>
      </c>
      <c r="H132" s="1" t="n">
        <v>0</v>
      </c>
      <c r="I132" s="1" t="n">
        <v>0</v>
      </c>
      <c r="J132" s="1" t="n">
        <v>0</v>
      </c>
      <c r="K132" s="1" t="n">
        <v>0</v>
      </c>
      <c r="L132" s="1" t="n">
        <v>1</v>
      </c>
      <c r="M132" s="1" t="n">
        <v>0</v>
      </c>
    </row>
    <row r="133" customFormat="false" ht="15" hidden="false" customHeight="true" outlineLevel="0" collapsed="false">
      <c r="A133" s="1" t="s">
        <v>536</v>
      </c>
      <c r="B133" s="1" t="n">
        <v>0</v>
      </c>
      <c r="C133" s="1" t="n">
        <v>0</v>
      </c>
      <c r="D133" s="1" t="n">
        <v>0</v>
      </c>
      <c r="E133" s="1" t="n">
        <v>0</v>
      </c>
      <c r="F133" s="1" t="n">
        <v>0</v>
      </c>
      <c r="G133" s="1" t="n">
        <v>0</v>
      </c>
      <c r="H133" s="1" t="n">
        <v>0</v>
      </c>
      <c r="I133" s="1" t="n">
        <v>0</v>
      </c>
      <c r="J133" s="1" t="n">
        <v>0</v>
      </c>
      <c r="K133" s="1" t="n">
        <v>0</v>
      </c>
      <c r="L133" s="1" t="n">
        <v>1</v>
      </c>
      <c r="M133" s="1" t="n">
        <v>0</v>
      </c>
    </row>
    <row r="134" customFormat="false" ht="15" hidden="false" customHeight="true" outlineLevel="0" collapsed="false">
      <c r="A134" s="1" t="s">
        <v>539</v>
      </c>
      <c r="B134" s="1" t="n">
        <v>0</v>
      </c>
      <c r="C134" s="1" t="n">
        <v>0</v>
      </c>
      <c r="D134" s="1" t="n">
        <v>0</v>
      </c>
      <c r="E134" s="1" t="n">
        <v>0</v>
      </c>
      <c r="F134" s="1" t="n">
        <v>0</v>
      </c>
      <c r="G134" s="1" t="n">
        <v>0</v>
      </c>
      <c r="H134" s="1" t="n">
        <v>0</v>
      </c>
      <c r="I134" s="1" t="n">
        <v>0</v>
      </c>
      <c r="J134" s="1" t="n">
        <v>0</v>
      </c>
      <c r="K134" s="1" t="n">
        <v>0</v>
      </c>
      <c r="L134" s="1" t="n">
        <v>1</v>
      </c>
      <c r="M134" s="1" t="n">
        <v>0</v>
      </c>
    </row>
    <row r="135" customFormat="false" ht="15" hidden="false" customHeight="true" outlineLevel="0" collapsed="false">
      <c r="A135" s="1" t="s">
        <v>543</v>
      </c>
      <c r="B135" s="1" t="n">
        <v>0</v>
      </c>
      <c r="C135" s="1" t="n">
        <v>0</v>
      </c>
      <c r="D135" s="1" t="n">
        <v>0</v>
      </c>
      <c r="E135" s="1" t="n">
        <v>0</v>
      </c>
      <c r="F135" s="1" t="n">
        <v>0</v>
      </c>
      <c r="G135" s="1" t="n">
        <v>0</v>
      </c>
      <c r="H135" s="1" t="n">
        <v>0</v>
      </c>
      <c r="I135" s="1" t="n">
        <v>0</v>
      </c>
      <c r="J135" s="1" t="n">
        <v>0</v>
      </c>
      <c r="K135" s="1" t="n">
        <v>0</v>
      </c>
      <c r="L135" s="1" t="n">
        <v>1</v>
      </c>
      <c r="M135" s="1" t="n">
        <v>0</v>
      </c>
    </row>
    <row r="136" customFormat="false" ht="15" hidden="false" customHeight="true" outlineLevel="0" collapsed="false">
      <c r="A136" s="1" t="s">
        <v>547</v>
      </c>
      <c r="B136" s="1" t="n">
        <v>0</v>
      </c>
      <c r="C136" s="1" t="n">
        <v>0</v>
      </c>
      <c r="D136" s="1" t="n">
        <v>0</v>
      </c>
      <c r="E136" s="1" t="n">
        <v>0</v>
      </c>
      <c r="F136" s="1" t="n">
        <v>0</v>
      </c>
      <c r="G136" s="1" t="n">
        <v>0</v>
      </c>
      <c r="H136" s="1" t="n">
        <v>0</v>
      </c>
      <c r="I136" s="1" t="n">
        <v>0</v>
      </c>
      <c r="J136" s="1" t="n">
        <v>0</v>
      </c>
      <c r="K136" s="1" t="n">
        <v>0</v>
      </c>
      <c r="L136" s="1" t="n">
        <v>1</v>
      </c>
      <c r="M136" s="1" t="n">
        <v>0</v>
      </c>
    </row>
    <row r="137" customFormat="false" ht="15" hidden="false" customHeight="true" outlineLevel="0" collapsed="false">
      <c r="A137" s="1" t="s">
        <v>550</v>
      </c>
      <c r="B137" s="1" t="n">
        <v>0</v>
      </c>
      <c r="C137" s="1" t="n">
        <v>0</v>
      </c>
      <c r="D137" s="1" t="n">
        <v>0</v>
      </c>
      <c r="E137" s="1" t="n">
        <v>0</v>
      </c>
      <c r="F137" s="1" t="n">
        <v>0</v>
      </c>
      <c r="G137" s="1" t="n">
        <v>0</v>
      </c>
      <c r="H137" s="1" t="n">
        <v>0</v>
      </c>
      <c r="I137" s="1" t="n">
        <v>0</v>
      </c>
      <c r="J137" s="1" t="n">
        <v>0</v>
      </c>
      <c r="K137" s="1" t="n">
        <v>0</v>
      </c>
      <c r="L137" s="1" t="n">
        <v>1</v>
      </c>
      <c r="M137" s="1" t="n">
        <v>0</v>
      </c>
    </row>
    <row r="138" customFormat="false" ht="15" hidden="false" customHeight="true" outlineLevel="0" collapsed="false">
      <c r="A138" s="1" t="s">
        <v>553</v>
      </c>
      <c r="B138" s="1" t="n">
        <v>0</v>
      </c>
      <c r="C138" s="1" t="n">
        <v>0</v>
      </c>
      <c r="D138" s="1" t="n">
        <v>0</v>
      </c>
      <c r="E138" s="1" t="n">
        <v>0</v>
      </c>
      <c r="F138" s="1" t="n">
        <v>0</v>
      </c>
      <c r="G138" s="1" t="n">
        <v>0</v>
      </c>
      <c r="H138" s="1" t="n">
        <v>0</v>
      </c>
      <c r="I138" s="1" t="n">
        <v>0</v>
      </c>
      <c r="J138" s="1" t="n">
        <v>0</v>
      </c>
      <c r="K138" s="1" t="n">
        <v>0</v>
      </c>
      <c r="L138" s="1" t="n">
        <v>1</v>
      </c>
      <c r="M138" s="1" t="n">
        <v>0</v>
      </c>
    </row>
    <row r="139" customFormat="false" ht="15" hidden="false" customHeight="true" outlineLevel="0" collapsed="false">
      <c r="A139" s="1" t="s">
        <v>556</v>
      </c>
      <c r="B139" s="1" t="n">
        <v>0</v>
      </c>
      <c r="C139" s="1" t="n">
        <v>0</v>
      </c>
      <c r="D139" s="1" t="n">
        <v>0</v>
      </c>
      <c r="E139" s="1" t="n">
        <v>0</v>
      </c>
      <c r="F139" s="1" t="n">
        <v>0</v>
      </c>
      <c r="G139" s="1" t="n">
        <v>0</v>
      </c>
      <c r="H139" s="1" t="n">
        <v>0</v>
      </c>
      <c r="I139" s="1" t="n">
        <v>0</v>
      </c>
      <c r="J139" s="1" t="n">
        <v>0</v>
      </c>
      <c r="K139" s="1" t="n">
        <v>0</v>
      </c>
      <c r="L139" s="1" t="n">
        <v>1</v>
      </c>
      <c r="M139" s="1" t="n">
        <v>0</v>
      </c>
    </row>
    <row r="140" customFormat="false" ht="15" hidden="false" customHeight="true" outlineLevel="0" collapsed="false">
      <c r="A140" s="1" t="s">
        <v>558</v>
      </c>
      <c r="B140" s="1" t="n">
        <v>0</v>
      </c>
      <c r="C140" s="1" t="n">
        <v>0</v>
      </c>
      <c r="D140" s="1" t="n">
        <v>0</v>
      </c>
      <c r="E140" s="1" t="n">
        <v>0</v>
      </c>
      <c r="F140" s="1" t="n">
        <v>0</v>
      </c>
      <c r="G140" s="1" t="n">
        <v>0</v>
      </c>
      <c r="H140" s="1" t="n">
        <v>0</v>
      </c>
      <c r="I140" s="1" t="n">
        <v>0</v>
      </c>
      <c r="J140" s="1" t="n">
        <v>0</v>
      </c>
      <c r="K140" s="1" t="n">
        <v>0</v>
      </c>
      <c r="L140" s="1" t="n">
        <v>1</v>
      </c>
      <c r="M140" s="1" t="n">
        <v>0</v>
      </c>
    </row>
    <row r="141" customFormat="false" ht="15" hidden="false" customHeight="true" outlineLevel="0" collapsed="false">
      <c r="A141" s="1" t="s">
        <v>560</v>
      </c>
      <c r="B141" s="1" t="n">
        <v>0</v>
      </c>
      <c r="C141" s="1" t="n">
        <v>0</v>
      </c>
      <c r="D141" s="1" t="n">
        <v>0</v>
      </c>
      <c r="E141" s="1" t="n">
        <v>0</v>
      </c>
      <c r="F141" s="1" t="n">
        <v>0</v>
      </c>
      <c r="G141" s="1" t="n">
        <v>0</v>
      </c>
      <c r="H141" s="1" t="n">
        <v>0</v>
      </c>
      <c r="I141" s="1" t="n">
        <v>1</v>
      </c>
      <c r="J141" s="1" t="n">
        <v>0</v>
      </c>
      <c r="K141" s="1" t="n">
        <v>0</v>
      </c>
      <c r="L141" s="1" t="n">
        <v>0</v>
      </c>
      <c r="M141" s="1" t="n">
        <v>0</v>
      </c>
    </row>
    <row r="142" customFormat="false" ht="15" hidden="false" customHeight="true" outlineLevel="0" collapsed="false">
      <c r="A142" s="1" t="s">
        <v>563</v>
      </c>
      <c r="B142" s="1" t="n">
        <v>0</v>
      </c>
      <c r="C142" s="1" t="n">
        <v>0</v>
      </c>
      <c r="D142" s="1" t="n">
        <v>0</v>
      </c>
      <c r="E142" s="1" t="n">
        <v>0</v>
      </c>
      <c r="F142" s="1" t="n">
        <v>0</v>
      </c>
      <c r="G142" s="1" t="n">
        <v>0</v>
      </c>
      <c r="H142" s="1" t="n">
        <v>0</v>
      </c>
      <c r="I142" s="1" t="n">
        <v>1</v>
      </c>
      <c r="J142" s="1" t="n">
        <v>0</v>
      </c>
      <c r="K142" s="1" t="n">
        <v>0</v>
      </c>
      <c r="L142" s="1" t="n">
        <v>0</v>
      </c>
      <c r="M142" s="1" t="n">
        <v>0</v>
      </c>
    </row>
    <row r="143" customFormat="false" ht="15" hidden="false" customHeight="true" outlineLevel="0" collapsed="false">
      <c r="A143" s="1" t="s">
        <v>566</v>
      </c>
      <c r="B143" s="1" t="n">
        <v>0</v>
      </c>
      <c r="C143" s="1" t="n">
        <v>0</v>
      </c>
      <c r="D143" s="1" t="n">
        <v>0</v>
      </c>
      <c r="E143" s="1" t="n">
        <v>0</v>
      </c>
      <c r="F143" s="1" t="n">
        <v>0</v>
      </c>
      <c r="G143" s="1" t="n">
        <v>0</v>
      </c>
      <c r="H143" s="1" t="n">
        <v>0</v>
      </c>
      <c r="I143" s="1" t="n">
        <v>1</v>
      </c>
      <c r="J143" s="1" t="n">
        <v>0</v>
      </c>
      <c r="K143" s="1" t="n">
        <v>0</v>
      </c>
      <c r="L143" s="1" t="n">
        <v>0</v>
      </c>
      <c r="M143" s="1" t="n">
        <v>0</v>
      </c>
    </row>
    <row r="144" customFormat="false" ht="15" hidden="false" customHeight="true" outlineLevel="0" collapsed="false">
      <c r="A144" s="1" t="s">
        <v>570</v>
      </c>
      <c r="B144" s="1" t="n">
        <v>0</v>
      </c>
      <c r="C144" s="1" t="n">
        <v>0</v>
      </c>
      <c r="D144" s="1" t="n">
        <v>0</v>
      </c>
      <c r="E144" s="1" t="n">
        <v>0</v>
      </c>
      <c r="F144" s="1" t="n">
        <v>0</v>
      </c>
      <c r="G144" s="1" t="n">
        <v>0</v>
      </c>
      <c r="H144" s="1" t="n">
        <v>0</v>
      </c>
      <c r="I144" s="1" t="n">
        <v>1</v>
      </c>
      <c r="J144" s="1" t="n">
        <v>0</v>
      </c>
      <c r="K144" s="1" t="n">
        <v>0</v>
      </c>
      <c r="L144" s="1" t="n">
        <v>0</v>
      </c>
      <c r="M144" s="1" t="n">
        <v>0</v>
      </c>
    </row>
    <row r="145" customFormat="false" ht="15" hidden="false" customHeight="true" outlineLevel="0" collapsed="false">
      <c r="A145" s="1" t="s">
        <v>573</v>
      </c>
      <c r="B145" s="1" t="n">
        <v>0</v>
      </c>
      <c r="C145" s="1" t="n">
        <v>0</v>
      </c>
      <c r="D145" s="1" t="n">
        <v>0</v>
      </c>
      <c r="E145" s="1" t="n">
        <v>0</v>
      </c>
      <c r="F145" s="1" t="n">
        <v>0</v>
      </c>
      <c r="G145" s="1" t="n">
        <v>0</v>
      </c>
      <c r="H145" s="1" t="n">
        <v>0</v>
      </c>
      <c r="I145" s="1" t="n">
        <v>1</v>
      </c>
      <c r="J145" s="1" t="n">
        <v>0</v>
      </c>
      <c r="K145" s="1" t="n">
        <v>0</v>
      </c>
      <c r="L145" s="1" t="n">
        <v>0</v>
      </c>
      <c r="M145" s="1"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8.6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4" min="3" style="1" width="10"/>
    <col collapsed="false" customWidth="true" hidden="false" outlineLevel="0" max="5" min="5" style="1" width="110"/>
    <col collapsed="false" customWidth="true" hidden="false" outlineLevel="0" max="6" min="6" style="1" width="60"/>
  </cols>
  <sheetData>
    <row r="1" customFormat="false" ht="26.25" hidden="false" customHeight="true" outlineLevel="0" collapsed="false">
      <c r="A1" s="14" t="s">
        <v>655</v>
      </c>
      <c r="B1" s="14" t="s">
        <v>656</v>
      </c>
      <c r="C1" s="14" t="s">
        <v>657</v>
      </c>
      <c r="D1" s="14" t="s">
        <v>658</v>
      </c>
      <c r="E1" s="14" t="s">
        <v>659</v>
      </c>
      <c r="F1" s="14" t="s">
        <v>660</v>
      </c>
    </row>
    <row r="2" customFormat="false" ht="34.5" hidden="false" customHeight="true" outlineLevel="0" collapsed="false">
      <c r="A2" s="15" t="s">
        <v>661</v>
      </c>
      <c r="B2" s="15" t="s">
        <v>662</v>
      </c>
      <c r="C2" s="15" t="n">
        <v>191</v>
      </c>
      <c r="D2" s="15" t="n">
        <v>0</v>
      </c>
      <c r="E2" s="16" t="s">
        <v>663</v>
      </c>
      <c r="F2" s="16"/>
    </row>
    <row r="3" customFormat="false" ht="34.5" hidden="false" customHeight="true" outlineLevel="0" collapsed="false">
      <c r="A3" s="15" t="s">
        <v>664</v>
      </c>
      <c r="B3" s="15" t="s">
        <v>665</v>
      </c>
      <c r="C3" s="15" t="n">
        <v>594</v>
      </c>
      <c r="D3" s="15" t="n">
        <v>0</v>
      </c>
      <c r="E3" s="16" t="s">
        <v>666</v>
      </c>
      <c r="F3" s="16"/>
    </row>
    <row r="4" customFormat="false" ht="45.75" hidden="false" customHeight="true" outlineLevel="0" collapsed="false">
      <c r="A4" s="15" t="s">
        <v>667</v>
      </c>
      <c r="B4" s="15" t="s">
        <v>668</v>
      </c>
      <c r="C4" s="15" t="n">
        <v>473</v>
      </c>
      <c r="D4" s="15" t="n">
        <v>38</v>
      </c>
      <c r="E4" s="16" t="s">
        <v>669</v>
      </c>
      <c r="F4" s="16"/>
    </row>
    <row r="5" customFormat="false" ht="45.75" hidden="false" customHeight="true" outlineLevel="0" collapsed="false">
      <c r="A5" s="15" t="s">
        <v>670</v>
      </c>
      <c r="B5" s="15" t="s">
        <v>671</v>
      </c>
      <c r="C5" s="15" t="n">
        <v>512</v>
      </c>
      <c r="D5" s="15" t="n">
        <v>2.5</v>
      </c>
      <c r="E5" s="16" t="s">
        <v>672</v>
      </c>
      <c r="F5" s="16"/>
    </row>
    <row r="6" customFormat="false" ht="45.75" hidden="false" customHeight="true" outlineLevel="0" collapsed="false">
      <c r="A6" s="15" t="s">
        <v>673</v>
      </c>
      <c r="B6" s="15" t="s">
        <v>674</v>
      </c>
      <c r="C6" s="15" t="n">
        <v>702</v>
      </c>
      <c r="D6" s="15" t="n">
        <v>6</v>
      </c>
      <c r="E6" s="16" t="s">
        <v>675</v>
      </c>
      <c r="F6" s="16"/>
    </row>
    <row r="7" customFormat="false" ht="45.75" hidden="false" customHeight="true" outlineLevel="0" collapsed="false">
      <c r="A7" s="15" t="s">
        <v>676</v>
      </c>
      <c r="B7" s="15" t="s">
        <v>677</v>
      </c>
      <c r="C7" s="15" t="n">
        <v>290</v>
      </c>
      <c r="D7" s="15" t="n">
        <v>471.5</v>
      </c>
      <c r="E7" s="16" t="s">
        <v>678</v>
      </c>
      <c r="F7" s="16"/>
    </row>
    <row r="8" customFormat="false" ht="45.75" hidden="false" customHeight="true" outlineLevel="0" collapsed="false">
      <c r="A8" s="15" t="s">
        <v>679</v>
      </c>
      <c r="B8" s="15" t="s">
        <v>680</v>
      </c>
      <c r="C8" s="15" t="n">
        <v>320</v>
      </c>
      <c r="D8" s="15" t="n">
        <v>308</v>
      </c>
      <c r="E8" s="16" t="s">
        <v>681</v>
      </c>
      <c r="F8" s="16"/>
    </row>
    <row r="9" customFormat="false" ht="55.5" hidden="false" customHeight="true" outlineLevel="0" collapsed="false">
      <c r="A9" s="15" t="s">
        <v>682</v>
      </c>
      <c r="B9" s="15" t="s">
        <v>683</v>
      </c>
      <c r="C9" s="15" t="n">
        <v>184.5</v>
      </c>
      <c r="D9" s="15" t="n">
        <v>218</v>
      </c>
      <c r="E9" s="16" t="s">
        <v>684</v>
      </c>
      <c r="F9" s="16"/>
    </row>
    <row r="10" customFormat="false" ht="90.75" hidden="false" customHeight="true" outlineLevel="0" collapsed="false">
      <c r="A10" s="15" t="s">
        <v>685</v>
      </c>
      <c r="B10" s="15" t="s">
        <v>686</v>
      </c>
      <c r="C10" s="15" t="n">
        <v>288.5</v>
      </c>
      <c r="D10" s="15" t="n">
        <v>180</v>
      </c>
      <c r="E10" s="16" t="s">
        <v>687</v>
      </c>
      <c r="F10" s="16"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140"/>
  </cols>
  <sheetData>
    <row r="1" customFormat="false" ht="15" hidden="false" customHeight="true" outlineLevel="0" collapsed="false">
      <c r="A1" s="14" t="s">
        <v>655</v>
      </c>
      <c r="B1" s="14" t="s">
        <v>588</v>
      </c>
      <c r="C1" s="14" t="s">
        <v>689</v>
      </c>
    </row>
    <row r="2" customFormat="false" ht="34.5" hidden="false" customHeight="true" outlineLevel="0" collapsed="false">
      <c r="A2" s="15" t="s">
        <v>661</v>
      </c>
      <c r="B2" s="15" t="s">
        <v>576</v>
      </c>
      <c r="C2" s="16" t="s">
        <v>690</v>
      </c>
    </row>
    <row r="3" customFormat="false" ht="23.25" hidden="false" customHeight="true" outlineLevel="0" collapsed="false">
      <c r="A3" s="15" t="s">
        <v>661</v>
      </c>
      <c r="B3" s="15" t="s">
        <v>577</v>
      </c>
      <c r="C3" s="16" t="s">
        <v>691</v>
      </c>
    </row>
    <row r="4" customFormat="false" ht="23.25" hidden="false" customHeight="true" outlineLevel="0" collapsed="false">
      <c r="A4" s="15" t="s">
        <v>661</v>
      </c>
      <c r="B4" s="15" t="s">
        <v>582</v>
      </c>
      <c r="C4" s="16" t="s">
        <v>692</v>
      </c>
    </row>
    <row r="5" customFormat="false" ht="23.25" hidden="false" customHeight="true" outlineLevel="0" collapsed="false">
      <c r="A5" s="15" t="s">
        <v>661</v>
      </c>
      <c r="B5" s="15" t="s">
        <v>583</v>
      </c>
      <c r="C5" s="16" t="s">
        <v>693</v>
      </c>
    </row>
    <row r="6" customFormat="false" ht="23.25" hidden="false" customHeight="true" outlineLevel="0" collapsed="false">
      <c r="A6" s="15" t="s">
        <v>664</v>
      </c>
      <c r="B6" s="15" t="s">
        <v>576</v>
      </c>
      <c r="C6" s="16" t="s">
        <v>694</v>
      </c>
    </row>
    <row r="7" customFormat="false" ht="23.25" hidden="false" customHeight="true" outlineLevel="0" collapsed="false">
      <c r="A7" s="15" t="s">
        <v>664</v>
      </c>
      <c r="B7" s="15" t="s">
        <v>577</v>
      </c>
      <c r="C7" s="16" t="s">
        <v>695</v>
      </c>
    </row>
    <row r="8" customFormat="false" ht="23.25" hidden="false" customHeight="true" outlineLevel="0" collapsed="false">
      <c r="A8" s="15" t="s">
        <v>664</v>
      </c>
      <c r="B8" s="15" t="s">
        <v>582</v>
      </c>
      <c r="C8" s="16" t="s">
        <v>696</v>
      </c>
    </row>
    <row r="9" customFormat="false" ht="23.25" hidden="false" customHeight="true" outlineLevel="0" collapsed="false">
      <c r="A9" s="15" t="s">
        <v>664</v>
      </c>
      <c r="B9" s="15" t="s">
        <v>583</v>
      </c>
      <c r="C9" s="16" t="s">
        <v>697</v>
      </c>
    </row>
    <row r="10" customFormat="false" ht="23.25" hidden="false" customHeight="true" outlineLevel="0" collapsed="false">
      <c r="A10" s="15" t="s">
        <v>667</v>
      </c>
      <c r="B10" s="15" t="s">
        <v>576</v>
      </c>
      <c r="C10" s="16" t="s">
        <v>698</v>
      </c>
    </row>
    <row r="11" customFormat="false" ht="23.25" hidden="false" customHeight="true" outlineLevel="0" collapsed="false">
      <c r="A11" s="15" t="s">
        <v>667</v>
      </c>
      <c r="B11" s="15" t="s">
        <v>577</v>
      </c>
      <c r="C11" s="16" t="s">
        <v>699</v>
      </c>
    </row>
    <row r="12" customFormat="false" ht="23.25" hidden="false" customHeight="true" outlineLevel="0" collapsed="false">
      <c r="A12" s="15" t="s">
        <v>667</v>
      </c>
      <c r="B12" s="15" t="s">
        <v>581</v>
      </c>
      <c r="C12" s="16" t="s">
        <v>700</v>
      </c>
    </row>
    <row r="13" customFormat="false" ht="23.25" hidden="false" customHeight="true" outlineLevel="0" collapsed="false">
      <c r="A13" s="15" t="s">
        <v>667</v>
      </c>
      <c r="B13" s="15" t="s">
        <v>582</v>
      </c>
      <c r="C13" s="16" t="s">
        <v>701</v>
      </c>
    </row>
    <row r="14" customFormat="false" ht="23.25" hidden="false" customHeight="true" outlineLevel="0" collapsed="false">
      <c r="A14" s="15" t="s">
        <v>667</v>
      </c>
      <c r="B14" s="15" t="s">
        <v>583</v>
      </c>
      <c r="C14" s="16" t="s">
        <v>702</v>
      </c>
    </row>
    <row r="15" customFormat="false" ht="34.5" hidden="false" customHeight="true" outlineLevel="0" collapsed="false">
      <c r="A15" s="15" t="s">
        <v>670</v>
      </c>
      <c r="B15" s="15" t="s">
        <v>576</v>
      </c>
      <c r="C15" s="16" t="s">
        <v>703</v>
      </c>
    </row>
    <row r="16" customFormat="false" ht="23.25" hidden="false" customHeight="true" outlineLevel="0" collapsed="false">
      <c r="A16" s="15" t="s">
        <v>670</v>
      </c>
      <c r="B16" s="15" t="s">
        <v>578</v>
      </c>
      <c r="C16" s="16" t="s">
        <v>704</v>
      </c>
    </row>
    <row r="17" customFormat="false" ht="23.25" hidden="false" customHeight="true" outlineLevel="0" collapsed="false">
      <c r="A17" s="15" t="s">
        <v>670</v>
      </c>
      <c r="B17" s="15" t="s">
        <v>581</v>
      </c>
      <c r="C17" s="16" t="s">
        <v>705</v>
      </c>
    </row>
    <row r="18" customFormat="false" ht="23.25" hidden="false" customHeight="true" outlineLevel="0" collapsed="false">
      <c r="A18" s="15" t="s">
        <v>670</v>
      </c>
      <c r="B18" s="15" t="s">
        <v>584</v>
      </c>
      <c r="C18" s="16" t="s">
        <v>706</v>
      </c>
    </row>
    <row r="19" customFormat="false" ht="34.5" hidden="false" customHeight="true" outlineLevel="0" collapsed="false">
      <c r="A19" s="15" t="s">
        <v>673</v>
      </c>
      <c r="B19" s="15" t="s">
        <v>576</v>
      </c>
      <c r="C19" s="16" t="s">
        <v>707</v>
      </c>
    </row>
    <row r="20" customFormat="false" ht="23.25" hidden="false" customHeight="true" outlineLevel="0" collapsed="false">
      <c r="A20" s="15" t="s">
        <v>673</v>
      </c>
      <c r="B20" s="15" t="s">
        <v>579</v>
      </c>
      <c r="C20" s="16" t="s">
        <v>708</v>
      </c>
    </row>
    <row r="21" customFormat="false" ht="23.25" hidden="false" customHeight="true" outlineLevel="0" collapsed="false">
      <c r="A21" s="15" t="s">
        <v>673</v>
      </c>
      <c r="B21" s="15" t="s">
        <v>585</v>
      </c>
      <c r="C21" s="16" t="s">
        <v>709</v>
      </c>
    </row>
    <row r="22" customFormat="false" ht="23.25" hidden="false" customHeight="true" outlineLevel="0" collapsed="false">
      <c r="A22" s="15" t="s">
        <v>673</v>
      </c>
      <c r="B22" s="15" t="s">
        <v>586</v>
      </c>
      <c r="C22" s="16" t="s">
        <v>710</v>
      </c>
    </row>
    <row r="23" customFormat="false" ht="34.5" hidden="false" customHeight="true" outlineLevel="0" collapsed="false">
      <c r="A23" s="15" t="s">
        <v>676</v>
      </c>
      <c r="B23" s="15" t="s">
        <v>576</v>
      </c>
      <c r="C23" s="16" t="s">
        <v>711</v>
      </c>
    </row>
    <row r="24" customFormat="false" ht="23.25" hidden="false" customHeight="true" outlineLevel="0" collapsed="false">
      <c r="A24" s="15" t="s">
        <v>676</v>
      </c>
      <c r="B24" s="15" t="s">
        <v>578</v>
      </c>
      <c r="C24" s="16" t="s">
        <v>712</v>
      </c>
    </row>
    <row r="25" customFormat="false" ht="23.25" hidden="false" customHeight="true" outlineLevel="0" collapsed="false">
      <c r="A25" s="15" t="s">
        <v>676</v>
      </c>
      <c r="B25" s="15" t="s">
        <v>583</v>
      </c>
      <c r="C25" s="16" t="s">
        <v>713</v>
      </c>
    </row>
    <row r="26" customFormat="false" ht="23.25" hidden="false" customHeight="true" outlineLevel="0" collapsed="false">
      <c r="A26" s="15" t="s">
        <v>676</v>
      </c>
      <c r="B26" s="15" t="s">
        <v>585</v>
      </c>
      <c r="C26" s="16" t="s">
        <v>714</v>
      </c>
    </row>
    <row r="27" customFormat="false" ht="45.75" hidden="false" customHeight="true" outlineLevel="0" collapsed="false">
      <c r="A27" s="15" t="s">
        <v>679</v>
      </c>
      <c r="B27" s="15" t="s">
        <v>576</v>
      </c>
      <c r="C27" s="16" t="s">
        <v>715</v>
      </c>
    </row>
    <row r="28" customFormat="false" ht="23.25" hidden="false" customHeight="true" outlineLevel="0" collapsed="false">
      <c r="A28" s="15" t="s">
        <v>679</v>
      </c>
      <c r="B28" s="15" t="s">
        <v>583</v>
      </c>
      <c r="C28" s="16" t="s">
        <v>716</v>
      </c>
    </row>
    <row r="29" customFormat="false" ht="23.25" hidden="false" customHeight="true" outlineLevel="0" collapsed="false">
      <c r="A29" s="15" t="s">
        <v>679</v>
      </c>
      <c r="B29" s="15" t="s">
        <v>584</v>
      </c>
      <c r="C29" s="16" t="s">
        <v>717</v>
      </c>
    </row>
    <row r="30" customFormat="false" ht="45.75" hidden="false" customHeight="true" outlineLevel="0" collapsed="false">
      <c r="A30" s="15" t="s">
        <v>682</v>
      </c>
      <c r="B30" s="15" t="s">
        <v>576</v>
      </c>
      <c r="C30" s="16" t="s">
        <v>718</v>
      </c>
    </row>
    <row r="31" customFormat="false" ht="23.25" hidden="false" customHeight="true" outlineLevel="0" collapsed="false">
      <c r="A31" s="15" t="s">
        <v>682</v>
      </c>
      <c r="B31" s="15" t="s">
        <v>579</v>
      </c>
      <c r="C31" s="16" t="s">
        <v>719</v>
      </c>
    </row>
    <row r="32" customFormat="false" ht="23.25" hidden="false" customHeight="true" outlineLevel="0" collapsed="false">
      <c r="A32" s="15" t="s">
        <v>682</v>
      </c>
      <c r="B32" s="15" t="s">
        <v>583</v>
      </c>
      <c r="C32" s="16" t="s">
        <v>720</v>
      </c>
    </row>
    <row r="33" customFormat="false" ht="23.25" hidden="false" customHeight="true" outlineLevel="0" collapsed="false">
      <c r="A33" s="15" t="s">
        <v>682</v>
      </c>
      <c r="B33" s="15" t="s">
        <v>584</v>
      </c>
      <c r="C33" s="16" t="s">
        <v>721</v>
      </c>
    </row>
    <row r="34" customFormat="false" ht="23.25" hidden="false" customHeight="true" outlineLevel="0" collapsed="false">
      <c r="A34" s="15" t="s">
        <v>679</v>
      </c>
      <c r="B34" s="15" t="s">
        <v>586</v>
      </c>
      <c r="C34" s="16" t="s">
        <v>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9"/>
    <col collapsed="false" customWidth="true" hidden="false" outlineLevel="0" max="2" min="2" style="1" width="52"/>
    <col collapsed="false" customWidth="true" hidden="false" outlineLevel="0" max="3" min="3" style="1" width="9"/>
    <col collapsed="false" customWidth="true" hidden="false" outlineLevel="0" max="4" min="4" style="1" width="80"/>
  </cols>
  <sheetData>
    <row r="1" customFormat="false" ht="26.25" hidden="false" customHeight="true" outlineLevel="0" collapsed="false">
      <c r="A1" s="14" t="s">
        <v>723</v>
      </c>
      <c r="B1" s="14" t="s">
        <v>724</v>
      </c>
      <c r="C1" s="14" t="s">
        <v>725</v>
      </c>
      <c r="D1" s="14" t="s">
        <v>726</v>
      </c>
    </row>
    <row r="2" customFormat="false" ht="15" hidden="false" customHeight="true" outlineLevel="0" collapsed="false">
      <c r="A2" s="15" t="s">
        <v>727</v>
      </c>
      <c r="B2" s="15" t="s">
        <v>728</v>
      </c>
      <c r="C2" s="15" t="s">
        <v>144</v>
      </c>
      <c r="D2" s="16"/>
    </row>
    <row r="3" customFormat="false" ht="15" hidden="false" customHeight="true" outlineLevel="0" collapsed="false">
      <c r="A3" s="15" t="s">
        <v>729</v>
      </c>
      <c r="B3" s="15" t="s">
        <v>730</v>
      </c>
      <c r="C3" s="15" t="s">
        <v>186</v>
      </c>
      <c r="D3" s="16"/>
    </row>
    <row r="4" customFormat="false" ht="15" hidden="false" customHeight="true" outlineLevel="0" collapsed="false">
      <c r="A4" s="15" t="s">
        <v>731</v>
      </c>
      <c r="B4" s="15" t="s">
        <v>732</v>
      </c>
      <c r="C4" s="15" t="s">
        <v>148</v>
      </c>
      <c r="D4" s="16"/>
    </row>
    <row r="5" customFormat="false" ht="15" hidden="false" customHeight="true" outlineLevel="0" collapsed="false">
      <c r="A5" s="15" t="s">
        <v>733</v>
      </c>
      <c r="B5" s="15" t="s">
        <v>734</v>
      </c>
      <c r="C5" s="15" t="s">
        <v>152</v>
      </c>
      <c r="D5" s="16"/>
    </row>
    <row r="6" customFormat="false" ht="15" hidden="false" customHeight="true" outlineLevel="0" collapsed="false">
      <c r="A6" s="15" t="s">
        <v>735</v>
      </c>
      <c r="B6" s="15" t="s">
        <v>736</v>
      </c>
      <c r="C6" s="15" t="s">
        <v>78</v>
      </c>
      <c r="D6" s="16"/>
    </row>
    <row r="7" customFormat="false" ht="15" hidden="false" customHeight="true" outlineLevel="0" collapsed="false">
      <c r="A7" s="15" t="s">
        <v>737</v>
      </c>
      <c r="B7" s="15" t="s">
        <v>83</v>
      </c>
      <c r="C7" s="15" t="s">
        <v>82</v>
      </c>
      <c r="D7" s="16"/>
    </row>
    <row r="8" customFormat="false" ht="15" hidden="false" customHeight="true" outlineLevel="0" collapsed="false">
      <c r="A8" s="15" t="s">
        <v>738</v>
      </c>
      <c r="B8" s="15" t="s">
        <v>739</v>
      </c>
      <c r="C8" s="15" t="s">
        <v>86</v>
      </c>
      <c r="D8" s="16"/>
    </row>
    <row r="9" customFormat="false" ht="15" hidden="false" customHeight="true" outlineLevel="0" collapsed="false">
      <c r="A9" s="15" t="s">
        <v>740</v>
      </c>
      <c r="B9" s="15" t="s">
        <v>741</v>
      </c>
      <c r="C9" s="15" t="s">
        <v>97</v>
      </c>
      <c r="D9" s="16"/>
    </row>
    <row r="10" customFormat="false" ht="15" hidden="false" customHeight="true" outlineLevel="0" collapsed="false">
      <c r="A10" s="15" t="s">
        <v>742</v>
      </c>
      <c r="B10" s="15" t="s">
        <v>743</v>
      </c>
      <c r="C10" s="15" t="s">
        <v>101</v>
      </c>
      <c r="D10" s="16"/>
    </row>
    <row r="11" customFormat="false" ht="15" hidden="false" customHeight="true" outlineLevel="0" collapsed="false">
      <c r="A11" s="15" t="s">
        <v>744</v>
      </c>
      <c r="B11" s="15" t="s">
        <v>745</v>
      </c>
      <c r="C11" s="15" t="s">
        <v>105</v>
      </c>
      <c r="D11" s="16"/>
    </row>
    <row r="12" customFormat="false" ht="15" hidden="false" customHeight="true" outlineLevel="0" collapsed="false">
      <c r="A12" s="15" t="s">
        <v>746</v>
      </c>
      <c r="B12" s="15" t="s">
        <v>747</v>
      </c>
      <c r="C12" s="15" t="s">
        <v>90</v>
      </c>
      <c r="D12" s="16"/>
    </row>
    <row r="13" customFormat="false" ht="15" hidden="false" customHeight="true" outlineLevel="0" collapsed="false">
      <c r="A13" s="15" t="s">
        <v>748</v>
      </c>
      <c r="B13" s="15" t="s">
        <v>749</v>
      </c>
      <c r="C13" s="15" t="s">
        <v>115</v>
      </c>
      <c r="D13" s="16"/>
    </row>
    <row r="14" customFormat="false" ht="15" hidden="false" customHeight="true" outlineLevel="0" collapsed="false">
      <c r="A14" s="15" t="s">
        <v>750</v>
      </c>
      <c r="B14" s="15" t="s">
        <v>751</v>
      </c>
      <c r="C14" s="15" t="s">
        <v>119</v>
      </c>
      <c r="D14" s="16"/>
    </row>
    <row r="15" customFormat="false" ht="15" hidden="false" customHeight="true" outlineLevel="0" collapsed="false">
      <c r="A15" s="15" t="s">
        <v>752</v>
      </c>
      <c r="B15" s="15" t="s">
        <v>753</v>
      </c>
      <c r="C15" s="15" t="s">
        <v>123</v>
      </c>
      <c r="D15" s="16"/>
    </row>
    <row r="16" customFormat="false" ht="15" hidden="false" customHeight="true" outlineLevel="0" collapsed="false">
      <c r="A16" s="15" t="s">
        <v>754</v>
      </c>
      <c r="B16" s="15" t="s">
        <v>755</v>
      </c>
      <c r="C16" s="15" t="s">
        <v>130</v>
      </c>
      <c r="D16" s="16"/>
    </row>
    <row r="17" customFormat="false" ht="15" hidden="false" customHeight="true" outlineLevel="0" collapsed="false">
      <c r="A17" s="15" t="s">
        <v>756</v>
      </c>
      <c r="B17" s="15" t="s">
        <v>757</v>
      </c>
      <c r="C17" s="15" t="s">
        <v>134</v>
      </c>
      <c r="D17" s="16"/>
    </row>
    <row r="18" customFormat="false" ht="15" hidden="false" customHeight="true" outlineLevel="0" collapsed="false">
      <c r="A18" s="15" t="s">
        <v>758</v>
      </c>
      <c r="B18" s="15" t="s">
        <v>159</v>
      </c>
      <c r="C18" s="15" t="s">
        <v>158</v>
      </c>
      <c r="D18" s="16"/>
    </row>
    <row r="19" customFormat="false" ht="15" hidden="false" customHeight="true" outlineLevel="0" collapsed="false">
      <c r="A19" s="15" t="s">
        <v>759</v>
      </c>
      <c r="B19" s="15" t="s">
        <v>760</v>
      </c>
      <c r="C19" s="15" t="s">
        <v>162</v>
      </c>
      <c r="D19" s="16"/>
    </row>
    <row r="20" customFormat="false" ht="15" hidden="false" customHeight="true" outlineLevel="0" collapsed="false">
      <c r="A20" s="15" t="s">
        <v>761</v>
      </c>
      <c r="B20" s="15" t="s">
        <v>762</v>
      </c>
      <c r="C20" s="15" t="s">
        <v>166</v>
      </c>
      <c r="D20" s="16"/>
    </row>
    <row r="21" customFormat="false" ht="15" hidden="false" customHeight="true" outlineLevel="0" collapsed="false">
      <c r="A21" s="15" t="s">
        <v>763</v>
      </c>
      <c r="B21" s="15" t="s">
        <v>764</v>
      </c>
      <c r="C21" s="15" t="s">
        <v>194</v>
      </c>
      <c r="D21" s="16" t="s">
        <v>765</v>
      </c>
    </row>
    <row r="22" customFormat="false" ht="15" hidden="false" customHeight="true" outlineLevel="0" collapsed="false">
      <c r="A22" s="15" t="s">
        <v>766</v>
      </c>
      <c r="B22" s="15" t="s">
        <v>767</v>
      </c>
      <c r="C22" s="15" t="s">
        <v>170</v>
      </c>
      <c r="D22" s="16"/>
    </row>
    <row r="23" customFormat="false" ht="15" hidden="false" customHeight="true" outlineLevel="0" collapsed="false">
      <c r="A23" s="15" t="s">
        <v>768</v>
      </c>
      <c r="B23" s="15" t="s">
        <v>769</v>
      </c>
      <c r="C23" s="15" t="s">
        <v>174</v>
      </c>
      <c r="D23" s="16"/>
    </row>
    <row r="24" customFormat="false" ht="15" hidden="false" customHeight="true" outlineLevel="0" collapsed="false">
      <c r="A24" s="15" t="s">
        <v>770</v>
      </c>
      <c r="B24" s="15" t="s">
        <v>771</v>
      </c>
      <c r="C24" s="15" t="s">
        <v>178</v>
      </c>
      <c r="D24" s="16"/>
    </row>
    <row r="25" customFormat="false" ht="15" hidden="false" customHeight="true" outlineLevel="0" collapsed="false">
      <c r="A25" s="15" t="s">
        <v>772</v>
      </c>
      <c r="B25" s="15" t="s">
        <v>773</v>
      </c>
      <c r="C25" s="15" t="s">
        <v>182</v>
      </c>
      <c r="D25" s="16"/>
    </row>
    <row r="26" customFormat="false" ht="15" hidden="false" customHeight="true" outlineLevel="0" collapsed="false">
      <c r="A26" s="15" t="s">
        <v>774</v>
      </c>
      <c r="B26" s="15" t="s">
        <v>775</v>
      </c>
      <c r="C26" s="15" t="s">
        <v>263</v>
      </c>
      <c r="D26" s="16"/>
    </row>
    <row r="27" customFormat="false" ht="15" hidden="false" customHeight="true" outlineLevel="0" collapsed="false">
      <c r="A27" s="15" t="s">
        <v>776</v>
      </c>
      <c r="B27" s="15" t="s">
        <v>777</v>
      </c>
      <c r="C27" s="15" t="s">
        <v>267</v>
      </c>
      <c r="D27" s="16"/>
    </row>
    <row r="28" customFormat="false" ht="15" hidden="false" customHeight="true" outlineLevel="0" collapsed="false">
      <c r="A28" s="15" t="s">
        <v>778</v>
      </c>
      <c r="B28" s="15" t="s">
        <v>779</v>
      </c>
      <c r="C28" s="15" t="s">
        <v>271</v>
      </c>
      <c r="D28" s="16"/>
    </row>
    <row r="29" customFormat="false" ht="15" hidden="false" customHeight="true" outlineLevel="0" collapsed="false">
      <c r="A29" s="15" t="s">
        <v>780</v>
      </c>
      <c r="B29" s="15" t="s">
        <v>781</v>
      </c>
      <c r="C29" s="15" t="s">
        <v>282</v>
      </c>
      <c r="D29" s="16"/>
    </row>
    <row r="30" customFormat="false" ht="15" hidden="false" customHeight="true" outlineLevel="0" collapsed="false">
      <c r="A30" s="15" t="s">
        <v>782</v>
      </c>
      <c r="B30" s="15" t="s">
        <v>783</v>
      </c>
      <c r="C30" s="15" t="s">
        <v>275</v>
      </c>
      <c r="D30" s="16" t="s">
        <v>784</v>
      </c>
    </row>
    <row r="31" customFormat="false" ht="15" hidden="false" customHeight="true" outlineLevel="0" collapsed="false">
      <c r="A31" s="15" t="s">
        <v>785</v>
      </c>
      <c r="B31" s="15" t="s">
        <v>786</v>
      </c>
      <c r="C31" s="15" t="s">
        <v>286</v>
      </c>
      <c r="D31" s="16"/>
    </row>
    <row r="32" customFormat="false" ht="15" hidden="false" customHeight="true" outlineLevel="0" collapsed="false">
      <c r="A32" s="15" t="s">
        <v>787</v>
      </c>
      <c r="B32" s="15" t="s">
        <v>788</v>
      </c>
      <c r="C32" s="15" t="s">
        <v>296</v>
      </c>
      <c r="D32" s="16"/>
    </row>
    <row r="33" customFormat="false" ht="15" hidden="false" customHeight="true" outlineLevel="0" collapsed="false">
      <c r="A33" s="15" t="s">
        <v>789</v>
      </c>
      <c r="B33" s="15" t="s">
        <v>790</v>
      </c>
      <c r="C33" s="15" t="s">
        <v>300</v>
      </c>
      <c r="D33" s="16"/>
    </row>
    <row r="34" customFormat="false" ht="15" hidden="false" customHeight="true" outlineLevel="0" collapsed="false">
      <c r="A34" s="15" t="s">
        <v>791</v>
      </c>
      <c r="B34" s="15" t="s">
        <v>792</v>
      </c>
      <c r="C34" s="15" t="s">
        <v>347</v>
      </c>
      <c r="D34" s="16"/>
    </row>
    <row r="35" customFormat="false" ht="15" hidden="false" customHeight="true" outlineLevel="0" collapsed="false">
      <c r="A35" s="15" t="s">
        <v>793</v>
      </c>
      <c r="B35" s="15" t="s">
        <v>794</v>
      </c>
      <c r="C35" s="15" t="s">
        <v>351</v>
      </c>
      <c r="D35" s="16"/>
    </row>
    <row r="36" customFormat="false" ht="23.25" hidden="false" customHeight="true" outlineLevel="0" collapsed="false">
      <c r="A36" s="15" t="s">
        <v>795</v>
      </c>
      <c r="B36" s="15" t="s">
        <v>796</v>
      </c>
      <c r="C36" s="15" t="s">
        <v>355</v>
      </c>
      <c r="D36" s="16" t="s">
        <v>797</v>
      </c>
    </row>
    <row r="37" customFormat="false" ht="15" hidden="false" customHeight="true" outlineLevel="0" collapsed="false">
      <c r="A37" s="15" t="s">
        <v>798</v>
      </c>
      <c r="B37" s="15" t="s">
        <v>799</v>
      </c>
      <c r="C37" s="15" t="s">
        <v>304</v>
      </c>
      <c r="D37" s="16"/>
    </row>
    <row r="38" customFormat="false" ht="15" hidden="false" customHeight="true" outlineLevel="0" collapsed="false">
      <c r="A38" s="15" t="s">
        <v>800</v>
      </c>
      <c r="B38" s="15" t="s">
        <v>801</v>
      </c>
      <c r="C38" s="15" t="s">
        <v>359</v>
      </c>
      <c r="D38" s="16"/>
    </row>
    <row r="39" customFormat="false" ht="15" hidden="false" customHeight="true" outlineLevel="0" collapsed="false">
      <c r="A39" s="15" t="s">
        <v>802</v>
      </c>
      <c r="B39" s="15" t="s">
        <v>803</v>
      </c>
      <c r="C39" s="15" t="s">
        <v>308</v>
      </c>
      <c r="D39" s="16"/>
    </row>
    <row r="40" customFormat="false" ht="15" hidden="false" customHeight="true" outlineLevel="0" collapsed="false">
      <c r="A40" s="15" t="s">
        <v>804</v>
      </c>
      <c r="B40" s="15" t="s">
        <v>805</v>
      </c>
      <c r="C40" s="15" t="s">
        <v>312</v>
      </c>
      <c r="D40" s="16"/>
    </row>
    <row r="41" customFormat="false" ht="15" hidden="false" customHeight="true" outlineLevel="0" collapsed="false">
      <c r="A41" s="15" t="s">
        <v>806</v>
      </c>
      <c r="B41" s="15" t="s">
        <v>807</v>
      </c>
      <c r="C41" s="15" t="s">
        <v>363</v>
      </c>
      <c r="D41" s="16" t="s">
        <v>808</v>
      </c>
    </row>
    <row r="42" customFormat="false" ht="15" hidden="false" customHeight="true" outlineLevel="0" collapsed="false">
      <c r="A42" s="15" t="s">
        <v>809</v>
      </c>
      <c r="B42" s="15" t="s">
        <v>810</v>
      </c>
      <c r="C42" s="15" t="s">
        <v>412</v>
      </c>
      <c r="D42" s="16"/>
    </row>
    <row r="43" customFormat="false" ht="15" hidden="false" customHeight="true" outlineLevel="0" collapsed="false">
      <c r="A43" s="15" t="s">
        <v>811</v>
      </c>
      <c r="B43" s="15" t="s">
        <v>812</v>
      </c>
      <c r="C43" s="15" t="s">
        <v>385</v>
      </c>
      <c r="D43" s="16"/>
    </row>
    <row r="44" customFormat="false" ht="15" hidden="false" customHeight="true" outlineLevel="0" collapsed="false">
      <c r="A44" s="15" t="s">
        <v>813</v>
      </c>
      <c r="B44" s="15" t="s">
        <v>814</v>
      </c>
      <c r="C44" s="15" t="s">
        <v>389</v>
      </c>
      <c r="D44" s="16"/>
    </row>
    <row r="45" customFormat="false" ht="15" hidden="false" customHeight="true" outlineLevel="0" collapsed="false">
      <c r="A45" s="15" t="s">
        <v>815</v>
      </c>
      <c r="B45" s="15" t="s">
        <v>816</v>
      </c>
      <c r="C45" s="15" t="s">
        <v>397</v>
      </c>
      <c r="D45" s="16"/>
    </row>
    <row r="46" customFormat="false" ht="15" hidden="false" customHeight="true" outlineLevel="0" collapsed="false">
      <c r="A46" s="15" t="s">
        <v>817</v>
      </c>
      <c r="B46" s="15" t="s">
        <v>818</v>
      </c>
      <c r="C46" s="15" t="s">
        <v>420</v>
      </c>
      <c r="D46" s="16"/>
    </row>
    <row r="47" customFormat="false" ht="15" hidden="false" customHeight="true" outlineLevel="0" collapsed="false">
      <c r="A47" s="15" t="s">
        <v>819</v>
      </c>
      <c r="B47" s="15" t="s">
        <v>820</v>
      </c>
      <c r="C47" s="15" t="s">
        <v>401</v>
      </c>
      <c r="D47" s="16"/>
    </row>
    <row r="48" customFormat="false" ht="15" hidden="false" customHeight="true" outlineLevel="0" collapsed="false">
      <c r="A48" s="15" t="s">
        <v>821</v>
      </c>
      <c r="B48" s="15" t="s">
        <v>822</v>
      </c>
      <c r="C48" s="15" t="s">
        <v>423</v>
      </c>
      <c r="D48" s="16"/>
    </row>
    <row r="49" customFormat="false" ht="15" hidden="false" customHeight="true" outlineLevel="0" collapsed="false">
      <c r="A49" s="15" t="s">
        <v>823</v>
      </c>
      <c r="B49" s="15" t="s">
        <v>824</v>
      </c>
      <c r="C49" s="15" t="s">
        <v>432</v>
      </c>
      <c r="D49" s="16"/>
    </row>
    <row r="50" customFormat="false" ht="15" hidden="false" customHeight="true" outlineLevel="0" collapsed="false">
      <c r="A50" s="15" t="s">
        <v>825</v>
      </c>
      <c r="B50" s="15" t="s">
        <v>826</v>
      </c>
      <c r="C50" s="15" t="s">
        <v>447</v>
      </c>
      <c r="D50" s="16"/>
    </row>
    <row r="51" customFormat="false" ht="15" hidden="false" customHeight="true" outlineLevel="0" collapsed="false">
      <c r="A51" s="15" t="s">
        <v>827</v>
      </c>
      <c r="B51" s="15" t="s">
        <v>828</v>
      </c>
      <c r="C51" s="15" t="s">
        <v>465</v>
      </c>
      <c r="D51" s="16"/>
    </row>
    <row r="52" customFormat="false" ht="15" hidden="false" customHeight="true" outlineLevel="0" collapsed="false">
      <c r="A52" s="15" t="s">
        <v>829</v>
      </c>
      <c r="B52" s="15" t="s">
        <v>830</v>
      </c>
      <c r="C52" s="15" t="s">
        <v>566</v>
      </c>
      <c r="D52" s="16"/>
    </row>
    <row r="53" customFormat="false" ht="15" hidden="false" customHeight="true" outlineLevel="0" collapsed="false">
      <c r="A53" s="15" t="s">
        <v>831</v>
      </c>
      <c r="B53" s="15" t="s">
        <v>832</v>
      </c>
      <c r="C53" s="15" t="s">
        <v>573</v>
      </c>
      <c r="D53" s="16"/>
    </row>
    <row r="54" customFormat="false" ht="15" hidden="false" customHeight="true" outlineLevel="0" collapsed="false">
      <c r="A54" s="15" t="s">
        <v>833</v>
      </c>
      <c r="B54" s="15" t="s">
        <v>834</v>
      </c>
      <c r="C54" s="15" t="s">
        <v>236</v>
      </c>
      <c r="D54" s="16" t="s">
        <v>835</v>
      </c>
    </row>
    <row r="55" customFormat="false" ht="15" hidden="false" customHeight="true" outlineLevel="0" collapsed="false">
      <c r="A55" s="15" t="s">
        <v>836</v>
      </c>
      <c r="B55" s="15" t="s">
        <v>837</v>
      </c>
      <c r="C55" s="15" t="s">
        <v>240</v>
      </c>
      <c r="D55" s="16" t="s">
        <v>835</v>
      </c>
    </row>
    <row r="56" customFormat="false" ht="15" hidden="false" customHeight="true" outlineLevel="0" collapsed="false">
      <c r="A56" s="15" t="s">
        <v>838</v>
      </c>
      <c r="B56" s="15" t="s">
        <v>839</v>
      </c>
      <c r="C56" s="15" t="s">
        <v>324</v>
      </c>
      <c r="D56" s="16" t="s">
        <v>835</v>
      </c>
    </row>
    <row r="57" customFormat="false" ht="15" hidden="false" customHeight="true" outlineLevel="0" collapsed="false">
      <c r="A57" s="15" t="s">
        <v>840</v>
      </c>
      <c r="B57" s="15" t="s">
        <v>841</v>
      </c>
      <c r="C57" s="15" t="s">
        <v>328</v>
      </c>
      <c r="D57" s="16" t="s">
        <v>835</v>
      </c>
    </row>
    <row r="58" customFormat="false" ht="15" hidden="false" customHeight="true" outlineLevel="0" collapsed="false">
      <c r="A58" s="15" t="s">
        <v>842</v>
      </c>
      <c r="B58" s="15" t="s">
        <v>843</v>
      </c>
      <c r="C58" s="15" t="s">
        <v>336</v>
      </c>
      <c r="D58" s="16" t="s">
        <v>835</v>
      </c>
    </row>
    <row r="59" customFormat="false" ht="15" hidden="false" customHeight="true" outlineLevel="0" collapsed="false">
      <c r="A59" s="15" t="s">
        <v>844</v>
      </c>
      <c r="B59" s="15" t="s">
        <v>845</v>
      </c>
      <c r="C59" s="15" t="s">
        <v>340</v>
      </c>
      <c r="D59" s="16" t="s">
        <v>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9"/>
    <col collapsed="false" customWidth="true" hidden="false" outlineLevel="0" max="5" min="5" style="1" width="40"/>
    <col collapsed="false" customWidth="true" hidden="false" outlineLevel="0" max="6" min="6" style="1" width="30"/>
    <col collapsed="false" customWidth="true" hidden="false" outlineLevel="0" max="7" min="7" style="1" width="50"/>
    <col collapsed="false" customWidth="true" hidden="false" outlineLevel="0" max="8" min="8" style="1" width="7"/>
    <col collapsed="false" customWidth="true" hidden="false" outlineLevel="0" max="9" min="9" style="1" width="12"/>
    <col collapsed="false" customWidth="true" hidden="false" outlineLevel="0" max="10" min="10" style="1" width="28"/>
    <col collapsed="false" customWidth="true" hidden="false" outlineLevel="0" max="11" min="11" style="1" width="10"/>
    <col collapsed="false" customWidth="true" hidden="false" outlineLevel="0" max="12" min="12" style="1" width="12"/>
  </cols>
  <sheetData>
    <row r="1" customFormat="false" ht="26.25" hidden="false" customHeight="true" outlineLevel="0" collapsed="false">
      <c r="A1" s="14" t="s">
        <v>846</v>
      </c>
      <c r="B1" s="14" t="s">
        <v>847</v>
      </c>
      <c r="C1" s="14" t="s">
        <v>723</v>
      </c>
      <c r="D1" s="14" t="s">
        <v>848</v>
      </c>
      <c r="E1" s="14" t="s">
        <v>849</v>
      </c>
      <c r="F1" s="14" t="s">
        <v>850</v>
      </c>
      <c r="G1" s="14" t="s">
        <v>851</v>
      </c>
      <c r="H1" s="14" t="s">
        <v>852</v>
      </c>
      <c r="I1" s="14" t="s">
        <v>853</v>
      </c>
      <c r="J1" s="14" t="s">
        <v>854</v>
      </c>
      <c r="K1" s="14" t="s">
        <v>855</v>
      </c>
      <c r="L1" s="14" t="s">
        <v>597</v>
      </c>
    </row>
    <row r="2" customFormat="false" ht="27.75" hidden="false" customHeight="true" outlineLevel="0" collapsed="false">
      <c r="A2" s="17" t="n">
        <v>46300</v>
      </c>
      <c r="B2" s="18" t="n">
        <v>10</v>
      </c>
      <c r="C2" s="18" t="s">
        <v>842</v>
      </c>
      <c r="D2" s="18" t="s">
        <v>856</v>
      </c>
      <c r="E2" s="8" t="s">
        <v>857</v>
      </c>
      <c r="F2" s="8" t="s">
        <v>858</v>
      </c>
      <c r="G2" s="8" t="s">
        <v>859</v>
      </c>
      <c r="H2" s="18" t="n">
        <v>6</v>
      </c>
      <c r="I2" s="18" t="s">
        <v>860</v>
      </c>
      <c r="J2" s="18" t="s">
        <v>861</v>
      </c>
      <c r="K2" s="18" t="s">
        <v>862</v>
      </c>
      <c r="L2" s="18" t="s">
        <v>863</v>
      </c>
    </row>
    <row r="3" customFormat="false" ht="27.75" hidden="false" customHeight="true" outlineLevel="0" collapsed="false">
      <c r="A3" s="17" t="n">
        <v>46300</v>
      </c>
      <c r="B3" s="18" t="n">
        <v>10</v>
      </c>
      <c r="C3" s="18" t="s">
        <v>815</v>
      </c>
      <c r="D3" s="18" t="s">
        <v>856</v>
      </c>
      <c r="E3" s="8" t="s">
        <v>864</v>
      </c>
      <c r="F3" s="8" t="s">
        <v>865</v>
      </c>
      <c r="G3" s="8" t="s">
        <v>866</v>
      </c>
      <c r="H3" s="18" t="n">
        <v>5</v>
      </c>
      <c r="I3" s="18" t="s">
        <v>867</v>
      </c>
      <c r="J3" s="18" t="s">
        <v>868</v>
      </c>
      <c r="K3" s="18" t="s">
        <v>862</v>
      </c>
      <c r="L3" s="18" t="s">
        <v>869</v>
      </c>
    </row>
    <row r="4" customFormat="false" ht="27.75" hidden="false" customHeight="true" outlineLevel="0" collapsed="false">
      <c r="A4" s="17" t="n">
        <v>46300</v>
      </c>
      <c r="B4" s="18" t="n">
        <v>10</v>
      </c>
      <c r="C4" s="18" t="s">
        <v>829</v>
      </c>
      <c r="D4" s="18" t="s">
        <v>856</v>
      </c>
      <c r="E4" s="8" t="s">
        <v>870</v>
      </c>
      <c r="F4" s="8" t="s">
        <v>865</v>
      </c>
      <c r="G4" s="8" t="s">
        <v>871</v>
      </c>
      <c r="H4" s="18" t="n">
        <v>1</v>
      </c>
      <c r="I4" s="18" t="s">
        <v>872</v>
      </c>
      <c r="J4" s="18" t="s">
        <v>873</v>
      </c>
      <c r="K4" s="18" t="s">
        <v>862</v>
      </c>
      <c r="L4" s="18" t="s">
        <v>874</v>
      </c>
    </row>
    <row r="5" customFormat="false" ht="27.75" hidden="false" customHeight="true" outlineLevel="0" collapsed="false">
      <c r="A5" s="17" t="n">
        <v>46300</v>
      </c>
      <c r="B5" s="18" t="n">
        <v>10</v>
      </c>
      <c r="C5" s="18" t="s">
        <v>829</v>
      </c>
      <c r="D5" s="18" t="s">
        <v>856</v>
      </c>
      <c r="E5" s="8" t="s">
        <v>870</v>
      </c>
      <c r="F5" s="8" t="s">
        <v>865</v>
      </c>
      <c r="G5" s="8" t="s">
        <v>875</v>
      </c>
      <c r="H5" s="18" t="n">
        <v>2</v>
      </c>
      <c r="I5" s="18" t="s">
        <v>876</v>
      </c>
      <c r="J5" s="18" t="s">
        <v>873</v>
      </c>
      <c r="K5" s="18" t="s">
        <v>862</v>
      </c>
      <c r="L5" s="18" t="s">
        <v>874</v>
      </c>
    </row>
    <row r="6" customFormat="false" ht="27.75" hidden="false" customHeight="true" outlineLevel="0" collapsed="false">
      <c r="A6" s="17" t="n">
        <v>46301</v>
      </c>
      <c r="B6" s="18" t="n">
        <v>10</v>
      </c>
      <c r="C6" s="18" t="s">
        <v>804</v>
      </c>
      <c r="D6" s="18" t="s">
        <v>856</v>
      </c>
      <c r="E6" s="8" t="s">
        <v>857</v>
      </c>
      <c r="F6" s="8" t="s">
        <v>877</v>
      </c>
      <c r="G6" s="8" t="s">
        <v>878</v>
      </c>
      <c r="H6" s="18" t="n">
        <v>8</v>
      </c>
      <c r="I6" s="18" t="s">
        <v>879</v>
      </c>
      <c r="J6" s="18" t="s">
        <v>861</v>
      </c>
      <c r="K6" s="18" t="s">
        <v>862</v>
      </c>
      <c r="L6" s="18" t="s">
        <v>880</v>
      </c>
    </row>
    <row r="7" customFormat="false" ht="27.75" hidden="false" customHeight="true" outlineLevel="0" collapsed="false">
      <c r="A7" s="17" t="n">
        <v>46301</v>
      </c>
      <c r="B7" s="18" t="n">
        <v>10</v>
      </c>
      <c r="C7" s="18" t="s">
        <v>804</v>
      </c>
      <c r="D7" s="18" t="s">
        <v>856</v>
      </c>
      <c r="E7" s="8" t="s">
        <v>857</v>
      </c>
      <c r="F7" s="8" t="s">
        <v>877</v>
      </c>
      <c r="G7" s="8" t="s">
        <v>881</v>
      </c>
      <c r="H7" s="18" t="n">
        <v>1</v>
      </c>
      <c r="I7" s="18" t="s">
        <v>882</v>
      </c>
      <c r="J7" s="18" t="s">
        <v>868</v>
      </c>
      <c r="K7" s="18" t="s">
        <v>862</v>
      </c>
      <c r="L7" s="18" t="s">
        <v>880</v>
      </c>
    </row>
    <row r="8" customFormat="false" ht="27.75" hidden="false" customHeight="true" outlineLevel="0" collapsed="false">
      <c r="A8" s="17" t="n">
        <v>46301</v>
      </c>
      <c r="B8" s="18" t="n">
        <v>10</v>
      </c>
      <c r="C8" s="18" t="s">
        <v>844</v>
      </c>
      <c r="D8" s="18" t="s">
        <v>856</v>
      </c>
      <c r="E8" s="8" t="s">
        <v>857</v>
      </c>
      <c r="F8" s="8" t="s">
        <v>883</v>
      </c>
      <c r="G8" s="8" t="s">
        <v>884</v>
      </c>
      <c r="H8" s="18" t="n">
        <v>2.5</v>
      </c>
      <c r="I8" s="18" t="s">
        <v>885</v>
      </c>
      <c r="J8" s="18" t="s">
        <v>886</v>
      </c>
      <c r="K8" s="18" t="s">
        <v>862</v>
      </c>
      <c r="L8" s="18" t="s">
        <v>887</v>
      </c>
    </row>
    <row r="9" customFormat="false" ht="27.75" hidden="false" customHeight="true" outlineLevel="0" collapsed="false">
      <c r="A9" s="17" t="n">
        <v>46301</v>
      </c>
      <c r="B9" s="18" t="n">
        <v>10</v>
      </c>
      <c r="C9" s="18" t="s">
        <v>842</v>
      </c>
      <c r="D9" s="18" t="s">
        <v>856</v>
      </c>
      <c r="E9" s="8" t="s">
        <v>857</v>
      </c>
      <c r="F9" s="8" t="s">
        <v>858</v>
      </c>
      <c r="G9" s="8" t="s">
        <v>888</v>
      </c>
      <c r="H9" s="18" t="n">
        <v>5</v>
      </c>
      <c r="I9" s="18" t="s">
        <v>889</v>
      </c>
      <c r="J9" s="18" t="s">
        <v>886</v>
      </c>
      <c r="K9" s="18" t="s">
        <v>862</v>
      </c>
      <c r="L9" s="18" t="s">
        <v>863</v>
      </c>
    </row>
    <row r="10" customFormat="false" ht="27.75" hidden="false" customHeight="true" outlineLevel="0" collapsed="false">
      <c r="A10" s="17" t="n">
        <v>46301</v>
      </c>
      <c r="B10" s="18" t="n">
        <v>10</v>
      </c>
      <c r="C10" s="18" t="s">
        <v>842</v>
      </c>
      <c r="D10" s="18" t="s">
        <v>856</v>
      </c>
      <c r="E10" s="8" t="s">
        <v>857</v>
      </c>
      <c r="F10" s="8" t="s">
        <v>858</v>
      </c>
      <c r="G10" s="8" t="s">
        <v>890</v>
      </c>
      <c r="H10" s="18" t="n">
        <v>1</v>
      </c>
      <c r="I10" s="18" t="s">
        <v>891</v>
      </c>
      <c r="J10" s="18" t="s">
        <v>868</v>
      </c>
      <c r="K10" s="18" t="s">
        <v>862</v>
      </c>
      <c r="L10" s="18" t="s">
        <v>863</v>
      </c>
    </row>
    <row r="11" customFormat="false" ht="27.75" hidden="false" customHeight="true" outlineLevel="0" collapsed="false">
      <c r="A11" s="17" t="n">
        <v>46301</v>
      </c>
      <c r="B11" s="18" t="n">
        <v>10</v>
      </c>
      <c r="C11" s="18" t="s">
        <v>842</v>
      </c>
      <c r="D11" s="18" t="s">
        <v>856</v>
      </c>
      <c r="E11" s="8" t="s">
        <v>857</v>
      </c>
      <c r="F11" s="8" t="s">
        <v>858</v>
      </c>
      <c r="G11" s="8" t="s">
        <v>892</v>
      </c>
      <c r="H11" s="18" t="n">
        <v>2</v>
      </c>
      <c r="I11" s="18" t="s">
        <v>893</v>
      </c>
      <c r="J11" s="18" t="s">
        <v>868</v>
      </c>
      <c r="K11" s="18" t="s">
        <v>862</v>
      </c>
      <c r="L11" s="18" t="s">
        <v>863</v>
      </c>
    </row>
    <row r="12" customFormat="false" ht="27.75" hidden="false" customHeight="true" outlineLevel="0" collapsed="false">
      <c r="A12" s="17" t="n">
        <v>46301</v>
      </c>
      <c r="B12" s="18" t="n">
        <v>10</v>
      </c>
      <c r="C12" s="18" t="s">
        <v>842</v>
      </c>
      <c r="D12" s="18" t="s">
        <v>856</v>
      </c>
      <c r="E12" s="8" t="s">
        <v>857</v>
      </c>
      <c r="F12" s="8" t="s">
        <v>858</v>
      </c>
      <c r="G12" s="8" t="s">
        <v>894</v>
      </c>
      <c r="H12" s="18" t="n">
        <v>2</v>
      </c>
      <c r="I12" s="18" t="s">
        <v>895</v>
      </c>
      <c r="J12" s="18" t="s">
        <v>868</v>
      </c>
      <c r="K12" s="18" t="s">
        <v>862</v>
      </c>
      <c r="L12" s="18" t="s">
        <v>863</v>
      </c>
    </row>
    <row r="13" customFormat="false" ht="27.75" hidden="false" customHeight="true" outlineLevel="0" collapsed="false">
      <c r="A13" s="17" t="n">
        <v>46301</v>
      </c>
      <c r="B13" s="18" t="n">
        <v>10</v>
      </c>
      <c r="C13" s="18" t="s">
        <v>833</v>
      </c>
      <c r="D13" s="18" t="s">
        <v>856</v>
      </c>
      <c r="E13" s="8" t="s">
        <v>896</v>
      </c>
      <c r="F13" s="8" t="s">
        <v>897</v>
      </c>
      <c r="G13" s="8" t="s">
        <v>898</v>
      </c>
      <c r="H13" s="18" t="n">
        <v>3</v>
      </c>
      <c r="I13" s="18" t="s">
        <v>899</v>
      </c>
      <c r="J13" s="18" t="s">
        <v>868</v>
      </c>
      <c r="K13" s="18" t="s">
        <v>862</v>
      </c>
      <c r="L13" s="18" t="s">
        <v>900</v>
      </c>
    </row>
    <row r="14" customFormat="false" ht="27.75" hidden="false" customHeight="true" outlineLevel="0" collapsed="false">
      <c r="A14" s="17" t="n">
        <v>46302</v>
      </c>
      <c r="B14" s="18" t="n">
        <v>10</v>
      </c>
      <c r="C14" s="18" t="s">
        <v>787</v>
      </c>
      <c r="D14" s="18" t="s">
        <v>856</v>
      </c>
      <c r="E14" s="8" t="s">
        <v>901</v>
      </c>
      <c r="F14" s="8" t="s">
        <v>877</v>
      </c>
      <c r="G14" s="8" t="s">
        <v>902</v>
      </c>
      <c r="H14" s="18" t="n">
        <v>4</v>
      </c>
      <c r="I14" s="18" t="s">
        <v>903</v>
      </c>
      <c r="J14" s="18" t="s">
        <v>861</v>
      </c>
      <c r="K14" s="18" t="s">
        <v>862</v>
      </c>
      <c r="L14" s="18" t="s">
        <v>904</v>
      </c>
    </row>
    <row r="15" customFormat="false" ht="27.75" hidden="false" customHeight="true" outlineLevel="0" collapsed="false">
      <c r="A15" s="17" t="n">
        <v>46302</v>
      </c>
      <c r="B15" s="18" t="n">
        <v>10</v>
      </c>
      <c r="C15" s="18" t="s">
        <v>844</v>
      </c>
      <c r="D15" s="18" t="s">
        <v>856</v>
      </c>
      <c r="E15" s="8" t="s">
        <v>857</v>
      </c>
      <c r="F15" s="8" t="s">
        <v>883</v>
      </c>
      <c r="G15" s="8" t="s">
        <v>905</v>
      </c>
      <c r="H15" s="18" t="n">
        <v>5.75</v>
      </c>
      <c r="I15" s="18" t="s">
        <v>906</v>
      </c>
      <c r="J15" s="18" t="s">
        <v>886</v>
      </c>
      <c r="K15" s="18" t="s">
        <v>862</v>
      </c>
      <c r="L15" s="18" t="s">
        <v>887</v>
      </c>
    </row>
    <row r="16" customFormat="false" ht="27.75" hidden="false" customHeight="true" outlineLevel="0" collapsed="false">
      <c r="A16" s="17" t="n">
        <v>46302</v>
      </c>
      <c r="B16" s="18" t="n">
        <v>10</v>
      </c>
      <c r="C16" s="18" t="s">
        <v>842</v>
      </c>
      <c r="D16" s="18" t="s">
        <v>856</v>
      </c>
      <c r="E16" s="8" t="s">
        <v>857</v>
      </c>
      <c r="F16" s="8" t="s">
        <v>858</v>
      </c>
      <c r="G16" s="8" t="s">
        <v>907</v>
      </c>
      <c r="H16" s="18" t="n">
        <v>11</v>
      </c>
      <c r="I16" s="18" t="s">
        <v>908</v>
      </c>
      <c r="J16" s="18" t="s">
        <v>886</v>
      </c>
      <c r="K16" s="18" t="s">
        <v>862</v>
      </c>
      <c r="L16" s="18" t="s">
        <v>863</v>
      </c>
    </row>
    <row r="17" customFormat="false" ht="27.75" hidden="false" customHeight="true" outlineLevel="0" collapsed="false">
      <c r="A17" s="17" t="n">
        <v>46302</v>
      </c>
      <c r="B17" s="18" t="n">
        <v>10</v>
      </c>
      <c r="C17" s="18" t="s">
        <v>844</v>
      </c>
      <c r="D17" s="18" t="s">
        <v>856</v>
      </c>
      <c r="E17" s="8" t="s">
        <v>857</v>
      </c>
      <c r="F17" s="8" t="s">
        <v>883</v>
      </c>
      <c r="G17" s="8" t="s">
        <v>909</v>
      </c>
      <c r="H17" s="18" t="n">
        <v>1.75</v>
      </c>
      <c r="I17" s="18" t="s">
        <v>910</v>
      </c>
      <c r="J17" s="18" t="s">
        <v>886</v>
      </c>
      <c r="K17" s="18" t="s">
        <v>862</v>
      </c>
      <c r="L17" s="18" t="s">
        <v>887</v>
      </c>
    </row>
    <row r="18" customFormat="false" ht="27.75" hidden="false" customHeight="true" outlineLevel="0" collapsed="false">
      <c r="A18" s="17" t="n">
        <v>46302</v>
      </c>
      <c r="B18" s="18" t="n">
        <v>10</v>
      </c>
      <c r="C18" s="18" t="s">
        <v>829</v>
      </c>
      <c r="D18" s="18" t="s">
        <v>856</v>
      </c>
      <c r="E18" s="8" t="s">
        <v>870</v>
      </c>
      <c r="F18" s="8" t="s">
        <v>865</v>
      </c>
      <c r="G18" s="8" t="s">
        <v>911</v>
      </c>
      <c r="H18" s="18" t="n">
        <v>1</v>
      </c>
      <c r="I18" s="18" t="s">
        <v>912</v>
      </c>
      <c r="J18" s="18" t="s">
        <v>873</v>
      </c>
      <c r="K18" s="18" t="s">
        <v>862</v>
      </c>
      <c r="L18" s="18" t="s">
        <v>874</v>
      </c>
    </row>
    <row r="19" customFormat="false" ht="27.75" hidden="false" customHeight="true" outlineLevel="0" collapsed="false">
      <c r="A19" s="17" t="n">
        <v>46303</v>
      </c>
      <c r="B19" s="18" t="n">
        <v>10</v>
      </c>
      <c r="C19" s="18" t="s">
        <v>842</v>
      </c>
      <c r="D19" s="18" t="s">
        <v>856</v>
      </c>
      <c r="E19" s="8" t="s">
        <v>857</v>
      </c>
      <c r="F19" s="8" t="s">
        <v>858</v>
      </c>
      <c r="G19" s="8" t="s">
        <v>913</v>
      </c>
      <c r="H19" s="18" t="n">
        <v>1</v>
      </c>
      <c r="I19" s="18" t="s">
        <v>914</v>
      </c>
      <c r="J19" s="18" t="s">
        <v>861</v>
      </c>
      <c r="K19" s="18" t="s">
        <v>862</v>
      </c>
      <c r="L19" s="18" t="s">
        <v>863</v>
      </c>
    </row>
    <row r="20" customFormat="false" ht="27.75" hidden="false" customHeight="true" outlineLevel="0" collapsed="false">
      <c r="A20" s="17" t="n">
        <v>46304</v>
      </c>
      <c r="B20" s="18" t="n">
        <v>10</v>
      </c>
      <c r="C20" s="18" t="s">
        <v>842</v>
      </c>
      <c r="D20" s="18" t="s">
        <v>856</v>
      </c>
      <c r="E20" s="8" t="s">
        <v>857</v>
      </c>
      <c r="F20" s="8" t="s">
        <v>858</v>
      </c>
      <c r="G20" s="8" t="s">
        <v>915</v>
      </c>
      <c r="H20" s="18" t="n">
        <v>4</v>
      </c>
      <c r="I20" s="18" t="s">
        <v>916</v>
      </c>
      <c r="J20" s="18" t="s">
        <v>861</v>
      </c>
      <c r="K20" s="18" t="s">
        <v>862</v>
      </c>
      <c r="L20" s="18" t="s">
        <v>863</v>
      </c>
    </row>
    <row r="21" customFormat="false" ht="27.75" hidden="false" customHeight="true" outlineLevel="0" collapsed="false">
      <c r="A21" s="17" t="n">
        <v>46304</v>
      </c>
      <c r="B21" s="18" t="n">
        <v>10</v>
      </c>
      <c r="C21" s="18" t="s">
        <v>829</v>
      </c>
      <c r="D21" s="18" t="s">
        <v>856</v>
      </c>
      <c r="E21" s="8" t="s">
        <v>870</v>
      </c>
      <c r="F21" s="8" t="s">
        <v>865</v>
      </c>
      <c r="G21" s="8" t="s">
        <v>917</v>
      </c>
      <c r="H21" s="18" t="n">
        <v>1</v>
      </c>
      <c r="I21" s="18" t="s">
        <v>918</v>
      </c>
      <c r="J21" s="18" t="s">
        <v>873</v>
      </c>
      <c r="K21" s="18" t="s">
        <v>862</v>
      </c>
      <c r="L21" s="18" t="s">
        <v>874</v>
      </c>
    </row>
    <row r="22" customFormat="false" ht="27.75" hidden="false" customHeight="true" outlineLevel="0" collapsed="false">
      <c r="A22" s="17" t="n">
        <v>46304</v>
      </c>
      <c r="B22" s="18" t="n">
        <v>10</v>
      </c>
      <c r="C22" s="18" t="s">
        <v>829</v>
      </c>
      <c r="D22" s="18" t="s">
        <v>856</v>
      </c>
      <c r="E22" s="8" t="s">
        <v>870</v>
      </c>
      <c r="F22" s="8" t="s">
        <v>865</v>
      </c>
      <c r="G22" s="8" t="s">
        <v>919</v>
      </c>
      <c r="H22" s="18" t="n">
        <v>1</v>
      </c>
      <c r="I22" s="18" t="s">
        <v>920</v>
      </c>
      <c r="J22" s="18" t="s">
        <v>873</v>
      </c>
      <c r="K22" s="18" t="s">
        <v>862</v>
      </c>
      <c r="L22" s="18" t="s">
        <v>874</v>
      </c>
    </row>
    <row r="23" customFormat="false" ht="27.75" hidden="false" customHeight="true" outlineLevel="0" collapsed="false">
      <c r="A23" s="17" t="n">
        <v>46307</v>
      </c>
      <c r="B23" s="18" t="n">
        <v>10</v>
      </c>
      <c r="C23" s="18" t="s">
        <v>836</v>
      </c>
      <c r="D23" s="18" t="s">
        <v>856</v>
      </c>
      <c r="E23" s="8" t="s">
        <v>896</v>
      </c>
      <c r="F23" s="8" t="s">
        <v>897</v>
      </c>
      <c r="G23" s="8" t="s">
        <v>921</v>
      </c>
      <c r="H23" s="18" t="n">
        <v>6</v>
      </c>
      <c r="I23" s="18" t="s">
        <v>922</v>
      </c>
      <c r="J23" s="18" t="s">
        <v>873</v>
      </c>
      <c r="K23" s="18" t="s">
        <v>923</v>
      </c>
      <c r="L23" s="18" t="s">
        <v>924</v>
      </c>
    </row>
    <row r="24" customFormat="false" ht="27.75" hidden="false" customHeight="true" outlineLevel="0" collapsed="false">
      <c r="A24" s="17" t="n">
        <v>46307</v>
      </c>
      <c r="B24" s="18" t="n">
        <v>10</v>
      </c>
      <c r="C24" s="18" t="s">
        <v>829</v>
      </c>
      <c r="D24" s="18" t="s">
        <v>856</v>
      </c>
      <c r="E24" s="8" t="s">
        <v>870</v>
      </c>
      <c r="F24" s="8" t="s">
        <v>865</v>
      </c>
      <c r="G24" s="8" t="s">
        <v>925</v>
      </c>
      <c r="H24" s="18" t="n">
        <v>3</v>
      </c>
      <c r="I24" s="18" t="s">
        <v>926</v>
      </c>
      <c r="J24" s="18" t="s">
        <v>873</v>
      </c>
      <c r="K24" s="18" t="s">
        <v>923</v>
      </c>
      <c r="L24" s="18" t="s">
        <v>874</v>
      </c>
    </row>
    <row r="25" customFormat="false" ht="27.75" hidden="false" customHeight="true" outlineLevel="0" collapsed="false">
      <c r="A25" s="17" t="n">
        <v>46308</v>
      </c>
      <c r="B25" s="18" t="n">
        <v>10</v>
      </c>
      <c r="C25" s="18" t="s">
        <v>804</v>
      </c>
      <c r="D25" s="18" t="s">
        <v>856</v>
      </c>
      <c r="E25" s="8" t="s">
        <v>857</v>
      </c>
      <c r="F25" s="8" t="s">
        <v>877</v>
      </c>
      <c r="G25" s="8" t="s">
        <v>927</v>
      </c>
      <c r="H25" s="18" t="n">
        <v>1</v>
      </c>
      <c r="I25" s="18" t="s">
        <v>928</v>
      </c>
      <c r="J25" s="18" t="s">
        <v>929</v>
      </c>
      <c r="K25" s="18" t="s">
        <v>923</v>
      </c>
      <c r="L25" s="18" t="s">
        <v>880</v>
      </c>
    </row>
    <row r="26" customFormat="false" ht="27.75" hidden="false" customHeight="true" outlineLevel="0" collapsed="false">
      <c r="A26" s="17" t="n">
        <v>46308</v>
      </c>
      <c r="B26" s="18" t="n">
        <v>10</v>
      </c>
      <c r="C26" s="18" t="s">
        <v>815</v>
      </c>
      <c r="D26" s="18" t="s">
        <v>856</v>
      </c>
      <c r="E26" s="8" t="s">
        <v>864</v>
      </c>
      <c r="F26" s="8" t="s">
        <v>865</v>
      </c>
      <c r="G26" s="8" t="s">
        <v>930</v>
      </c>
      <c r="H26" s="18" t="n">
        <v>3</v>
      </c>
      <c r="I26" s="18" t="s">
        <v>931</v>
      </c>
      <c r="J26" s="18" t="s">
        <v>868</v>
      </c>
      <c r="K26" s="18" t="s">
        <v>923</v>
      </c>
      <c r="L26" s="18" t="s">
        <v>869</v>
      </c>
    </row>
    <row r="27" customFormat="false" ht="27.75" hidden="false" customHeight="true" outlineLevel="0" collapsed="false">
      <c r="A27" s="17" t="n">
        <v>46308</v>
      </c>
      <c r="B27" s="18" t="n">
        <v>10</v>
      </c>
      <c r="C27" s="18" t="s">
        <v>815</v>
      </c>
      <c r="D27" s="18" t="s">
        <v>856</v>
      </c>
      <c r="E27" s="8" t="s">
        <v>864</v>
      </c>
      <c r="F27" s="8" t="s">
        <v>865</v>
      </c>
      <c r="G27" s="8" t="s">
        <v>932</v>
      </c>
      <c r="H27" s="18" t="n">
        <v>6</v>
      </c>
      <c r="I27" s="18" t="s">
        <v>933</v>
      </c>
      <c r="J27" s="18" t="s">
        <v>868</v>
      </c>
      <c r="K27" s="18" t="s">
        <v>923</v>
      </c>
      <c r="L27" s="18" t="s">
        <v>869</v>
      </c>
    </row>
    <row r="28" customFormat="false" ht="27.75" hidden="false" customHeight="true" outlineLevel="0" collapsed="false">
      <c r="A28" s="17" t="n">
        <v>46308</v>
      </c>
      <c r="B28" s="18" t="n">
        <v>10</v>
      </c>
      <c r="C28" s="18" t="s">
        <v>787</v>
      </c>
      <c r="D28" s="18" t="s">
        <v>856</v>
      </c>
      <c r="E28" s="8" t="s">
        <v>901</v>
      </c>
      <c r="F28" s="8" t="s">
        <v>877</v>
      </c>
      <c r="G28" s="8" t="s">
        <v>934</v>
      </c>
      <c r="H28" s="18" t="n">
        <v>3</v>
      </c>
      <c r="I28" s="18" t="s">
        <v>935</v>
      </c>
      <c r="J28" s="18" t="s">
        <v>861</v>
      </c>
      <c r="K28" s="18" t="s">
        <v>923</v>
      </c>
      <c r="L28" s="18" t="s">
        <v>904</v>
      </c>
    </row>
    <row r="29" customFormat="false" ht="27.75" hidden="false" customHeight="true" outlineLevel="0" collapsed="false">
      <c r="A29" s="17" t="n">
        <v>46308</v>
      </c>
      <c r="B29" s="18" t="n">
        <v>10</v>
      </c>
      <c r="C29" s="18" t="s">
        <v>844</v>
      </c>
      <c r="D29" s="18" t="s">
        <v>856</v>
      </c>
      <c r="E29" s="8" t="s">
        <v>857</v>
      </c>
      <c r="F29" s="8" t="s">
        <v>883</v>
      </c>
      <c r="G29" s="8" t="s">
        <v>936</v>
      </c>
      <c r="H29" s="18" t="n">
        <v>1</v>
      </c>
      <c r="I29" s="18" t="s">
        <v>937</v>
      </c>
      <c r="J29" s="18" t="s">
        <v>861</v>
      </c>
      <c r="K29" s="18" t="s">
        <v>923</v>
      </c>
      <c r="L29" s="18" t="s">
        <v>887</v>
      </c>
    </row>
    <row r="30" customFormat="false" ht="27.75" hidden="false" customHeight="true" outlineLevel="0" collapsed="false">
      <c r="A30" s="17" t="n">
        <v>46309</v>
      </c>
      <c r="B30" s="18" t="n">
        <v>10</v>
      </c>
      <c r="C30" s="18" t="s">
        <v>804</v>
      </c>
      <c r="D30" s="18" t="s">
        <v>856</v>
      </c>
      <c r="E30" s="8" t="s">
        <v>857</v>
      </c>
      <c r="F30" s="8" t="s">
        <v>877</v>
      </c>
      <c r="G30" s="8" t="s">
        <v>938</v>
      </c>
      <c r="H30" s="18" t="n">
        <v>1</v>
      </c>
      <c r="I30" s="18" t="s">
        <v>939</v>
      </c>
      <c r="J30" s="18" t="s">
        <v>929</v>
      </c>
      <c r="K30" s="18" t="s">
        <v>923</v>
      </c>
      <c r="L30" s="18" t="s">
        <v>880</v>
      </c>
    </row>
    <row r="31" customFormat="false" ht="27.75" hidden="false" customHeight="true" outlineLevel="0" collapsed="false">
      <c r="A31" s="17" t="n">
        <v>46309</v>
      </c>
      <c r="B31" s="18" t="n">
        <v>10</v>
      </c>
      <c r="C31" s="18" t="s">
        <v>804</v>
      </c>
      <c r="D31" s="18" t="s">
        <v>856</v>
      </c>
      <c r="E31" s="8" t="s">
        <v>857</v>
      </c>
      <c r="F31" s="8" t="s">
        <v>877</v>
      </c>
      <c r="G31" s="8" t="s">
        <v>940</v>
      </c>
      <c r="H31" s="18" t="n">
        <v>1</v>
      </c>
      <c r="I31" s="18" t="s">
        <v>941</v>
      </c>
      <c r="J31" s="18" t="s">
        <v>929</v>
      </c>
      <c r="K31" s="18" t="s">
        <v>923</v>
      </c>
      <c r="L31" s="18" t="s">
        <v>880</v>
      </c>
    </row>
    <row r="32" customFormat="false" ht="27.75" hidden="false" customHeight="true" outlineLevel="0" collapsed="false">
      <c r="A32" s="17" t="n">
        <v>46309</v>
      </c>
      <c r="B32" s="18" t="n">
        <v>10</v>
      </c>
      <c r="C32" s="18" t="s">
        <v>844</v>
      </c>
      <c r="D32" s="18" t="s">
        <v>856</v>
      </c>
      <c r="E32" s="8" t="s">
        <v>857</v>
      </c>
      <c r="F32" s="8" t="s">
        <v>883</v>
      </c>
      <c r="G32" s="8" t="s">
        <v>942</v>
      </c>
      <c r="H32" s="18" t="n">
        <v>10.5</v>
      </c>
      <c r="I32" s="18" t="s">
        <v>943</v>
      </c>
      <c r="J32" s="18" t="s">
        <v>886</v>
      </c>
      <c r="K32" s="18" t="s">
        <v>923</v>
      </c>
      <c r="L32" s="18" t="s">
        <v>887</v>
      </c>
    </row>
    <row r="33" customFormat="false" ht="27.75" hidden="false" customHeight="true" outlineLevel="0" collapsed="false">
      <c r="A33" s="17" t="n">
        <v>46309</v>
      </c>
      <c r="B33" s="18" t="n">
        <v>10</v>
      </c>
      <c r="C33" s="18" t="s">
        <v>787</v>
      </c>
      <c r="D33" s="18" t="s">
        <v>856</v>
      </c>
      <c r="E33" s="8" t="s">
        <v>901</v>
      </c>
      <c r="F33" s="8" t="s">
        <v>877</v>
      </c>
      <c r="G33" s="8" t="s">
        <v>944</v>
      </c>
      <c r="H33" s="18" t="n">
        <v>5</v>
      </c>
      <c r="I33" s="18" t="s">
        <v>945</v>
      </c>
      <c r="J33" s="18" t="s">
        <v>861</v>
      </c>
      <c r="K33" s="18" t="s">
        <v>923</v>
      </c>
      <c r="L33" s="18" t="s">
        <v>904</v>
      </c>
    </row>
    <row r="34" customFormat="false" ht="27.75" hidden="false" customHeight="true" outlineLevel="0" collapsed="false">
      <c r="A34" s="17" t="n">
        <v>46309</v>
      </c>
      <c r="B34" s="18" t="n">
        <v>10</v>
      </c>
      <c r="C34" s="18" t="s">
        <v>838</v>
      </c>
      <c r="D34" s="18" t="s">
        <v>856</v>
      </c>
      <c r="E34" s="8" t="s">
        <v>857</v>
      </c>
      <c r="F34" s="8" t="s">
        <v>946</v>
      </c>
      <c r="G34" s="8" t="s">
        <v>947</v>
      </c>
      <c r="H34" s="18" t="n">
        <v>7</v>
      </c>
      <c r="I34" s="18" t="s">
        <v>948</v>
      </c>
      <c r="J34" s="18" t="s">
        <v>873</v>
      </c>
      <c r="K34" s="18" t="s">
        <v>923</v>
      </c>
      <c r="L34" s="18" t="s">
        <v>949</v>
      </c>
    </row>
    <row r="35" customFormat="false" ht="27.75" hidden="false" customHeight="true" outlineLevel="0" collapsed="false">
      <c r="A35" s="17" t="n">
        <v>46309</v>
      </c>
      <c r="B35" s="18" t="n">
        <v>10</v>
      </c>
      <c r="C35" s="18" t="s">
        <v>838</v>
      </c>
      <c r="D35" s="18" t="s">
        <v>856</v>
      </c>
      <c r="E35" s="8" t="s">
        <v>857</v>
      </c>
      <c r="F35" s="8" t="s">
        <v>946</v>
      </c>
      <c r="G35" s="8" t="s">
        <v>950</v>
      </c>
      <c r="H35" s="18" t="n">
        <v>18</v>
      </c>
      <c r="I35" s="18" t="s">
        <v>951</v>
      </c>
      <c r="J35" s="18" t="s">
        <v>873</v>
      </c>
      <c r="K35" s="18" t="s">
        <v>923</v>
      </c>
      <c r="L35" s="18" t="s">
        <v>949</v>
      </c>
    </row>
    <row r="36" customFormat="false" ht="27.75" hidden="false" customHeight="true" outlineLevel="0" collapsed="false">
      <c r="A36" s="17" t="n">
        <v>46310</v>
      </c>
      <c r="B36" s="18" t="n">
        <v>10</v>
      </c>
      <c r="C36" s="18" t="s">
        <v>842</v>
      </c>
      <c r="D36" s="18" t="s">
        <v>856</v>
      </c>
      <c r="E36" s="8" t="s">
        <v>857</v>
      </c>
      <c r="F36" s="8" t="s">
        <v>858</v>
      </c>
      <c r="G36" s="8" t="s">
        <v>952</v>
      </c>
      <c r="H36" s="18" t="n">
        <v>5</v>
      </c>
      <c r="I36" s="18" t="s">
        <v>953</v>
      </c>
      <c r="J36" s="18" t="s">
        <v>886</v>
      </c>
      <c r="K36" s="18" t="s">
        <v>923</v>
      </c>
      <c r="L36" s="18" t="s">
        <v>863</v>
      </c>
    </row>
    <row r="37" customFormat="false" ht="27.75" hidden="false" customHeight="true" outlineLevel="0" collapsed="false">
      <c r="A37" s="17" t="n">
        <v>46310</v>
      </c>
      <c r="B37" s="18" t="n">
        <v>10</v>
      </c>
      <c r="C37" s="18" t="s">
        <v>842</v>
      </c>
      <c r="D37" s="18" t="s">
        <v>856</v>
      </c>
      <c r="E37" s="8" t="s">
        <v>857</v>
      </c>
      <c r="F37" s="8" t="s">
        <v>858</v>
      </c>
      <c r="G37" s="8" t="s">
        <v>954</v>
      </c>
      <c r="H37" s="18" t="n">
        <v>6</v>
      </c>
      <c r="I37" s="18" t="s">
        <v>955</v>
      </c>
      <c r="J37" s="18" t="s">
        <v>886</v>
      </c>
      <c r="K37" s="18" t="s">
        <v>923</v>
      </c>
      <c r="L37" s="18" t="s">
        <v>863</v>
      </c>
    </row>
    <row r="38" customFormat="false" ht="27.75" hidden="false" customHeight="true" outlineLevel="0" collapsed="false">
      <c r="A38" s="17" t="n">
        <v>46310</v>
      </c>
      <c r="B38" s="18" t="n">
        <v>10</v>
      </c>
      <c r="C38" s="18" t="s">
        <v>787</v>
      </c>
      <c r="D38" s="18" t="s">
        <v>856</v>
      </c>
      <c r="E38" s="8" t="s">
        <v>901</v>
      </c>
      <c r="F38" s="8" t="s">
        <v>877</v>
      </c>
      <c r="G38" s="8" t="s">
        <v>956</v>
      </c>
      <c r="H38" s="18" t="n">
        <v>3</v>
      </c>
      <c r="I38" s="18" t="s">
        <v>957</v>
      </c>
      <c r="J38" s="18" t="s">
        <v>861</v>
      </c>
      <c r="K38" s="18" t="s">
        <v>923</v>
      </c>
      <c r="L38" s="18" t="s">
        <v>904</v>
      </c>
    </row>
    <row r="39" customFormat="false" ht="27.75" hidden="false" customHeight="true" outlineLevel="0" collapsed="false">
      <c r="A39" s="17" t="n">
        <v>46310</v>
      </c>
      <c r="B39" s="18" t="n">
        <v>10</v>
      </c>
      <c r="C39" s="18" t="s">
        <v>804</v>
      </c>
      <c r="D39" s="18" t="s">
        <v>856</v>
      </c>
      <c r="E39" s="8" t="s">
        <v>857</v>
      </c>
      <c r="F39" s="8" t="s">
        <v>877</v>
      </c>
      <c r="G39" s="8" t="s">
        <v>958</v>
      </c>
      <c r="H39" s="18" t="n">
        <v>4</v>
      </c>
      <c r="I39" s="18" t="s">
        <v>959</v>
      </c>
      <c r="J39" s="18" t="s">
        <v>861</v>
      </c>
      <c r="K39" s="18" t="s">
        <v>923</v>
      </c>
      <c r="L39" s="18" t="s">
        <v>880</v>
      </c>
    </row>
    <row r="40" customFormat="false" ht="27.75" hidden="false" customHeight="true" outlineLevel="0" collapsed="false">
      <c r="A40" s="17" t="n">
        <v>46310</v>
      </c>
      <c r="B40" s="18" t="n">
        <v>10</v>
      </c>
      <c r="C40" s="18" t="s">
        <v>774</v>
      </c>
      <c r="D40" s="18" t="s">
        <v>856</v>
      </c>
      <c r="E40" s="8" t="s">
        <v>857</v>
      </c>
      <c r="F40" s="8" t="s">
        <v>960</v>
      </c>
      <c r="G40" s="8" t="s">
        <v>961</v>
      </c>
      <c r="H40" s="18" t="n">
        <v>3</v>
      </c>
      <c r="I40" s="18" t="s">
        <v>962</v>
      </c>
      <c r="J40" s="18" t="s">
        <v>873</v>
      </c>
      <c r="K40" s="18" t="s">
        <v>923</v>
      </c>
      <c r="L40" s="18" t="s">
        <v>963</v>
      </c>
    </row>
    <row r="41" customFormat="false" ht="27.75" hidden="false" customHeight="true" outlineLevel="0" collapsed="false">
      <c r="A41" s="17" t="n">
        <v>46310</v>
      </c>
      <c r="B41" s="18" t="n">
        <v>10</v>
      </c>
      <c r="C41" s="18" t="s">
        <v>759</v>
      </c>
      <c r="D41" s="18" t="s">
        <v>856</v>
      </c>
      <c r="E41" s="8" t="s">
        <v>896</v>
      </c>
      <c r="F41" s="8" t="s">
        <v>877</v>
      </c>
      <c r="G41" s="8" t="s">
        <v>964</v>
      </c>
      <c r="H41" s="18" t="n">
        <v>8</v>
      </c>
      <c r="I41" s="18" t="s">
        <v>965</v>
      </c>
      <c r="J41" s="18" t="s">
        <v>929</v>
      </c>
      <c r="K41" s="18" t="s">
        <v>923</v>
      </c>
      <c r="L41" s="18" t="s">
        <v>966</v>
      </c>
    </row>
    <row r="42" customFormat="false" ht="27.75" hidden="false" customHeight="true" outlineLevel="0" collapsed="false">
      <c r="A42" s="17" t="n">
        <v>46311</v>
      </c>
      <c r="B42" s="18" t="n">
        <v>10</v>
      </c>
      <c r="C42" s="18" t="s">
        <v>815</v>
      </c>
      <c r="D42" s="18" t="s">
        <v>856</v>
      </c>
      <c r="E42" s="8" t="s">
        <v>864</v>
      </c>
      <c r="F42" s="8" t="s">
        <v>865</v>
      </c>
      <c r="G42" s="8" t="s">
        <v>967</v>
      </c>
      <c r="H42" s="18" t="n">
        <v>8</v>
      </c>
      <c r="I42" s="18" t="s">
        <v>968</v>
      </c>
      <c r="J42" s="18" t="s">
        <v>868</v>
      </c>
      <c r="K42" s="18" t="s">
        <v>923</v>
      </c>
      <c r="L42" s="18" t="s">
        <v>869</v>
      </c>
    </row>
    <row r="43" customFormat="false" ht="27.75" hidden="false" customHeight="true" outlineLevel="0" collapsed="false">
      <c r="A43" s="17" t="n">
        <v>46311</v>
      </c>
      <c r="B43" s="18" t="n">
        <v>10</v>
      </c>
      <c r="C43" s="18" t="s">
        <v>815</v>
      </c>
      <c r="D43" s="18" t="s">
        <v>856</v>
      </c>
      <c r="E43" s="8" t="s">
        <v>864</v>
      </c>
      <c r="F43" s="8" t="s">
        <v>865</v>
      </c>
      <c r="G43" s="8" t="s">
        <v>969</v>
      </c>
      <c r="H43" s="18" t="n">
        <v>5</v>
      </c>
      <c r="I43" s="18" t="s">
        <v>970</v>
      </c>
      <c r="J43" s="18" t="s">
        <v>868</v>
      </c>
      <c r="K43" s="18" t="s">
        <v>923</v>
      </c>
      <c r="L43" s="18" t="s">
        <v>869</v>
      </c>
    </row>
    <row r="44" customFormat="false" ht="27.75" hidden="false" customHeight="true" outlineLevel="0" collapsed="false">
      <c r="A44" s="17" t="n">
        <v>46311</v>
      </c>
      <c r="B44" s="18" t="n">
        <v>10</v>
      </c>
      <c r="C44" s="18" t="s">
        <v>798</v>
      </c>
      <c r="D44" s="18" t="s">
        <v>856</v>
      </c>
      <c r="E44" s="8" t="s">
        <v>971</v>
      </c>
      <c r="F44" s="8" t="s">
        <v>960</v>
      </c>
      <c r="G44" s="8" t="s">
        <v>972</v>
      </c>
      <c r="H44" s="18" t="n">
        <v>2</v>
      </c>
      <c r="I44" s="18" t="s">
        <v>973</v>
      </c>
      <c r="J44" s="18" t="s">
        <v>868</v>
      </c>
      <c r="K44" s="18" t="s">
        <v>923</v>
      </c>
      <c r="L44" s="18" t="s">
        <v>974</v>
      </c>
    </row>
    <row r="45" customFormat="false" ht="27.75" hidden="false" customHeight="true" outlineLevel="0" collapsed="false">
      <c r="A45" s="17" t="n">
        <v>46311</v>
      </c>
      <c r="B45" s="18" t="n">
        <v>10</v>
      </c>
      <c r="C45" s="18" t="s">
        <v>759</v>
      </c>
      <c r="D45" s="18" t="s">
        <v>856</v>
      </c>
      <c r="E45" s="8" t="s">
        <v>896</v>
      </c>
      <c r="F45" s="8" t="s">
        <v>877</v>
      </c>
      <c r="G45" s="8" t="s">
        <v>975</v>
      </c>
      <c r="H45" s="18" t="n">
        <v>6</v>
      </c>
      <c r="I45" s="18" t="s">
        <v>976</v>
      </c>
      <c r="J45" s="18" t="s">
        <v>929</v>
      </c>
      <c r="K45" s="18" t="s">
        <v>923</v>
      </c>
      <c r="L45" s="18" t="s">
        <v>966</v>
      </c>
    </row>
    <row r="46" customFormat="false" ht="27.75" hidden="false" customHeight="true" outlineLevel="0" collapsed="false">
      <c r="A46" s="17" t="n">
        <v>46312</v>
      </c>
      <c r="B46" s="18" t="n">
        <v>10</v>
      </c>
      <c r="C46" s="18" t="s">
        <v>829</v>
      </c>
      <c r="D46" s="18" t="s">
        <v>856</v>
      </c>
      <c r="E46" s="8" t="s">
        <v>870</v>
      </c>
      <c r="F46" s="8" t="s">
        <v>865</v>
      </c>
      <c r="G46" s="8" t="s">
        <v>977</v>
      </c>
      <c r="H46" s="18" t="n">
        <v>2</v>
      </c>
      <c r="I46" s="18" t="s">
        <v>978</v>
      </c>
      <c r="J46" s="18" t="s">
        <v>873</v>
      </c>
      <c r="K46" s="18" t="s">
        <v>923</v>
      </c>
      <c r="L46" s="18" t="s">
        <v>874</v>
      </c>
    </row>
    <row r="47" customFormat="false" ht="27.75" hidden="false" customHeight="true" outlineLevel="0" collapsed="false">
      <c r="A47" s="17" t="n">
        <v>46314</v>
      </c>
      <c r="B47" s="18" t="n">
        <v>10</v>
      </c>
      <c r="C47" s="18" t="s">
        <v>811</v>
      </c>
      <c r="D47" s="18" t="s">
        <v>856</v>
      </c>
      <c r="E47" s="8" t="s">
        <v>979</v>
      </c>
      <c r="F47" s="8" t="s">
        <v>883</v>
      </c>
      <c r="G47" s="8" t="s">
        <v>980</v>
      </c>
      <c r="H47" s="18" t="n">
        <v>5</v>
      </c>
      <c r="I47" s="18" t="s">
        <v>981</v>
      </c>
      <c r="J47" s="18" t="s">
        <v>868</v>
      </c>
      <c r="K47" s="18" t="s">
        <v>982</v>
      </c>
      <c r="L47" s="18" t="s">
        <v>983</v>
      </c>
    </row>
    <row r="48" customFormat="false" ht="27.75" hidden="false" customHeight="true" outlineLevel="0" collapsed="false">
      <c r="A48" s="17" t="n">
        <v>46314</v>
      </c>
      <c r="B48" s="18" t="n">
        <v>10</v>
      </c>
      <c r="C48" s="18" t="s">
        <v>829</v>
      </c>
      <c r="D48" s="18" t="s">
        <v>856</v>
      </c>
      <c r="E48" s="8" t="s">
        <v>870</v>
      </c>
      <c r="F48" s="8" t="s">
        <v>865</v>
      </c>
      <c r="G48" s="8" t="s">
        <v>984</v>
      </c>
      <c r="H48" s="18" t="n">
        <v>2</v>
      </c>
      <c r="I48" s="18" t="s">
        <v>985</v>
      </c>
      <c r="J48" s="18" t="s">
        <v>873</v>
      </c>
      <c r="K48" s="18" t="s">
        <v>982</v>
      </c>
      <c r="L48" s="18" t="s">
        <v>874</v>
      </c>
    </row>
    <row r="49" customFormat="false" ht="27.75" hidden="false" customHeight="true" outlineLevel="0" collapsed="false">
      <c r="A49" s="17" t="n">
        <v>46315</v>
      </c>
      <c r="B49" s="18" t="n">
        <v>10</v>
      </c>
      <c r="C49" s="18" t="s">
        <v>844</v>
      </c>
      <c r="D49" s="18" t="s">
        <v>856</v>
      </c>
      <c r="E49" s="8" t="s">
        <v>857</v>
      </c>
      <c r="F49" s="8" t="s">
        <v>883</v>
      </c>
      <c r="G49" s="8" t="s">
        <v>986</v>
      </c>
      <c r="H49" s="18" t="n">
        <v>4</v>
      </c>
      <c r="I49" s="18" t="s">
        <v>987</v>
      </c>
      <c r="J49" s="18" t="s">
        <v>886</v>
      </c>
      <c r="K49" s="18" t="s">
        <v>982</v>
      </c>
      <c r="L49" s="18" t="s">
        <v>887</v>
      </c>
    </row>
    <row r="50" customFormat="false" ht="27.75" hidden="false" customHeight="true" outlineLevel="0" collapsed="false">
      <c r="A50" s="17" t="n">
        <v>46315</v>
      </c>
      <c r="B50" s="18" t="n">
        <v>10</v>
      </c>
      <c r="C50" s="18" t="s">
        <v>844</v>
      </c>
      <c r="D50" s="18" t="s">
        <v>856</v>
      </c>
      <c r="E50" s="8" t="s">
        <v>857</v>
      </c>
      <c r="F50" s="8" t="s">
        <v>883</v>
      </c>
      <c r="G50" s="8" t="s">
        <v>988</v>
      </c>
      <c r="H50" s="18" t="n">
        <v>3</v>
      </c>
      <c r="I50" s="18" t="s">
        <v>989</v>
      </c>
      <c r="J50" s="18" t="s">
        <v>861</v>
      </c>
      <c r="K50" s="18" t="s">
        <v>982</v>
      </c>
      <c r="L50" s="18" t="s">
        <v>887</v>
      </c>
    </row>
    <row r="51" customFormat="false" ht="27.75" hidden="false" customHeight="true" outlineLevel="0" collapsed="false">
      <c r="A51" s="17" t="n">
        <v>46315</v>
      </c>
      <c r="B51" s="18" t="n">
        <v>10</v>
      </c>
      <c r="C51" s="18" t="s">
        <v>759</v>
      </c>
      <c r="D51" s="18" t="s">
        <v>856</v>
      </c>
      <c r="E51" s="8" t="s">
        <v>896</v>
      </c>
      <c r="F51" s="8" t="s">
        <v>883</v>
      </c>
      <c r="G51" s="8" t="s">
        <v>990</v>
      </c>
      <c r="H51" s="18" t="n">
        <v>3</v>
      </c>
      <c r="I51" s="18" t="s">
        <v>991</v>
      </c>
      <c r="J51" s="18" t="s">
        <v>868</v>
      </c>
      <c r="K51" s="18" t="s">
        <v>982</v>
      </c>
      <c r="L51" s="18" t="s">
        <v>992</v>
      </c>
    </row>
    <row r="52" customFormat="false" ht="27.75" hidden="false" customHeight="true" outlineLevel="0" collapsed="false">
      <c r="A52" s="17" t="n">
        <v>46315</v>
      </c>
      <c r="B52" s="18" t="n">
        <v>10</v>
      </c>
      <c r="C52" s="18" t="s">
        <v>829</v>
      </c>
      <c r="D52" s="18" t="s">
        <v>856</v>
      </c>
      <c r="E52" s="8" t="s">
        <v>870</v>
      </c>
      <c r="F52" s="8" t="s">
        <v>865</v>
      </c>
      <c r="G52" s="8" t="s">
        <v>993</v>
      </c>
      <c r="H52" s="18" t="n">
        <v>1</v>
      </c>
      <c r="I52" s="18" t="s">
        <v>994</v>
      </c>
      <c r="J52" s="18" t="s">
        <v>873</v>
      </c>
      <c r="K52" s="18" t="s">
        <v>982</v>
      </c>
      <c r="L52" s="18" t="s">
        <v>874</v>
      </c>
    </row>
    <row r="53" customFormat="false" ht="27.75" hidden="false" customHeight="true" outlineLevel="0" collapsed="false">
      <c r="A53" s="17" t="n">
        <v>46315</v>
      </c>
      <c r="B53" s="18" t="n">
        <v>10</v>
      </c>
      <c r="C53" s="18" t="s">
        <v>759</v>
      </c>
      <c r="D53" s="18" t="s">
        <v>856</v>
      </c>
      <c r="E53" s="8" t="s">
        <v>896</v>
      </c>
      <c r="F53" s="8" t="s">
        <v>877</v>
      </c>
      <c r="G53" s="8" t="s">
        <v>995</v>
      </c>
      <c r="H53" s="18" t="n">
        <v>8</v>
      </c>
      <c r="I53" s="18" t="s">
        <v>996</v>
      </c>
      <c r="J53" s="18" t="s">
        <v>929</v>
      </c>
      <c r="K53" s="18" t="s">
        <v>982</v>
      </c>
      <c r="L53" s="18" t="s">
        <v>966</v>
      </c>
    </row>
    <row r="54" customFormat="false" ht="27.75" hidden="false" customHeight="true" outlineLevel="0" collapsed="false">
      <c r="A54" s="17" t="n">
        <v>46316</v>
      </c>
      <c r="B54" s="18" t="n">
        <v>10</v>
      </c>
      <c r="C54" s="18" t="s">
        <v>844</v>
      </c>
      <c r="D54" s="18" t="s">
        <v>856</v>
      </c>
      <c r="E54" s="8" t="s">
        <v>857</v>
      </c>
      <c r="F54" s="8" t="s">
        <v>883</v>
      </c>
      <c r="G54" s="8" t="s">
        <v>997</v>
      </c>
      <c r="H54" s="18" t="n">
        <v>2</v>
      </c>
      <c r="I54" s="18" t="s">
        <v>998</v>
      </c>
      <c r="J54" s="18" t="s">
        <v>886</v>
      </c>
      <c r="K54" s="18" t="s">
        <v>982</v>
      </c>
      <c r="L54" s="18" t="s">
        <v>887</v>
      </c>
    </row>
    <row r="55" customFormat="false" ht="27.75" hidden="false" customHeight="true" outlineLevel="0" collapsed="false">
      <c r="A55" s="17" t="n">
        <v>46316</v>
      </c>
      <c r="B55" s="18" t="n">
        <v>10</v>
      </c>
      <c r="C55" s="18" t="s">
        <v>844</v>
      </c>
      <c r="D55" s="18" t="s">
        <v>856</v>
      </c>
      <c r="E55" s="8" t="s">
        <v>857</v>
      </c>
      <c r="F55" s="8" t="s">
        <v>883</v>
      </c>
      <c r="G55" s="8" t="s">
        <v>999</v>
      </c>
      <c r="H55" s="18" t="n">
        <v>4</v>
      </c>
      <c r="I55" s="18" t="s">
        <v>1000</v>
      </c>
      <c r="J55" s="18" t="s">
        <v>886</v>
      </c>
      <c r="K55" s="18" t="s">
        <v>982</v>
      </c>
      <c r="L55" s="18" t="s">
        <v>887</v>
      </c>
    </row>
    <row r="56" customFormat="false" ht="27.75" hidden="false" customHeight="true" outlineLevel="0" collapsed="false">
      <c r="A56" s="17" t="n">
        <v>46316</v>
      </c>
      <c r="B56" s="18" t="n">
        <v>10</v>
      </c>
      <c r="C56" s="18" t="s">
        <v>844</v>
      </c>
      <c r="D56" s="18" t="s">
        <v>856</v>
      </c>
      <c r="E56" s="8" t="s">
        <v>857</v>
      </c>
      <c r="F56" s="8" t="s">
        <v>883</v>
      </c>
      <c r="G56" s="8" t="s">
        <v>1001</v>
      </c>
      <c r="H56" s="18" t="n">
        <v>1</v>
      </c>
      <c r="I56" s="18" t="s">
        <v>1002</v>
      </c>
      <c r="J56" s="18" t="s">
        <v>873</v>
      </c>
      <c r="K56" s="18" t="s">
        <v>982</v>
      </c>
      <c r="L56" s="18" t="s">
        <v>887</v>
      </c>
    </row>
    <row r="57" customFormat="false" ht="27.75" hidden="false" customHeight="true" outlineLevel="0" collapsed="false">
      <c r="A57" s="17" t="n">
        <v>46316</v>
      </c>
      <c r="B57" s="18" t="n">
        <v>10</v>
      </c>
      <c r="C57" s="18" t="s">
        <v>844</v>
      </c>
      <c r="D57" s="18" t="s">
        <v>856</v>
      </c>
      <c r="E57" s="8" t="s">
        <v>857</v>
      </c>
      <c r="F57" s="8" t="s">
        <v>883</v>
      </c>
      <c r="G57" s="8" t="s">
        <v>1003</v>
      </c>
      <c r="H57" s="18" t="n">
        <v>3</v>
      </c>
      <c r="I57" s="18" t="s">
        <v>1004</v>
      </c>
      <c r="J57" s="18" t="s">
        <v>886</v>
      </c>
      <c r="K57" s="18" t="s">
        <v>982</v>
      </c>
      <c r="L57" s="18" t="s">
        <v>887</v>
      </c>
    </row>
    <row r="58" customFormat="false" ht="27.75" hidden="false" customHeight="true" outlineLevel="0" collapsed="false">
      <c r="A58" s="17" t="n">
        <v>46316</v>
      </c>
      <c r="B58" s="18" t="n">
        <v>10</v>
      </c>
      <c r="C58" s="18" t="s">
        <v>844</v>
      </c>
      <c r="D58" s="18" t="s">
        <v>856</v>
      </c>
      <c r="E58" s="8" t="s">
        <v>857</v>
      </c>
      <c r="F58" s="8" t="s">
        <v>883</v>
      </c>
      <c r="G58" s="8" t="s">
        <v>1005</v>
      </c>
      <c r="H58" s="18" t="n">
        <v>4</v>
      </c>
      <c r="I58" s="18" t="s">
        <v>1006</v>
      </c>
      <c r="J58" s="18" t="s">
        <v>868</v>
      </c>
      <c r="K58" s="18" t="s">
        <v>982</v>
      </c>
      <c r="L58" s="18" t="s">
        <v>887</v>
      </c>
    </row>
    <row r="59" customFormat="false" ht="27.75" hidden="false" customHeight="true" outlineLevel="0" collapsed="false">
      <c r="A59" s="17" t="n">
        <v>46316</v>
      </c>
      <c r="B59" s="18" t="n">
        <v>10</v>
      </c>
      <c r="C59" s="18" t="s">
        <v>804</v>
      </c>
      <c r="D59" s="18" t="s">
        <v>856</v>
      </c>
      <c r="E59" s="8" t="s">
        <v>857</v>
      </c>
      <c r="F59" s="8" t="s">
        <v>877</v>
      </c>
      <c r="G59" s="8" t="s">
        <v>1007</v>
      </c>
      <c r="H59" s="18" t="n">
        <v>4</v>
      </c>
      <c r="I59" s="18" t="s">
        <v>1008</v>
      </c>
      <c r="J59" s="18" t="s">
        <v>929</v>
      </c>
      <c r="K59" s="18" t="s">
        <v>982</v>
      </c>
      <c r="L59" s="18" t="s">
        <v>1009</v>
      </c>
    </row>
    <row r="60" customFormat="false" ht="27.75" hidden="false" customHeight="true" outlineLevel="0" collapsed="false">
      <c r="A60" s="17" t="n">
        <v>46317</v>
      </c>
      <c r="B60" s="18" t="n">
        <v>10</v>
      </c>
      <c r="C60" s="18" t="s">
        <v>844</v>
      </c>
      <c r="D60" s="18" t="s">
        <v>856</v>
      </c>
      <c r="E60" s="8" t="s">
        <v>857</v>
      </c>
      <c r="F60" s="8" t="s">
        <v>883</v>
      </c>
      <c r="G60" s="8" t="s">
        <v>1010</v>
      </c>
      <c r="H60" s="18" t="n">
        <v>8</v>
      </c>
      <c r="I60" s="18" t="s">
        <v>1011</v>
      </c>
      <c r="J60" s="18" t="s">
        <v>868</v>
      </c>
      <c r="K60" s="18" t="s">
        <v>982</v>
      </c>
      <c r="L60" s="18" t="s">
        <v>887</v>
      </c>
    </row>
    <row r="61" customFormat="false" ht="27.75" hidden="false" customHeight="true" outlineLevel="0" collapsed="false">
      <c r="A61" s="17" t="n">
        <v>46317</v>
      </c>
      <c r="B61" s="18" t="n">
        <v>10</v>
      </c>
      <c r="C61" s="18" t="s">
        <v>844</v>
      </c>
      <c r="D61" s="18" t="s">
        <v>856</v>
      </c>
      <c r="E61" s="8" t="s">
        <v>857</v>
      </c>
      <c r="F61" s="8" t="s">
        <v>883</v>
      </c>
      <c r="G61" s="8" t="s">
        <v>1012</v>
      </c>
      <c r="H61" s="18" t="n">
        <v>2</v>
      </c>
      <c r="I61" s="18" t="s">
        <v>1013</v>
      </c>
      <c r="J61" s="18" t="s">
        <v>868</v>
      </c>
      <c r="K61" s="18" t="s">
        <v>982</v>
      </c>
      <c r="L61" s="18" t="s">
        <v>887</v>
      </c>
    </row>
    <row r="62" customFormat="false" ht="27.75" hidden="false" customHeight="true" outlineLevel="0" collapsed="false">
      <c r="A62" s="17" t="n">
        <v>46317</v>
      </c>
      <c r="B62" s="18" t="n">
        <v>10</v>
      </c>
      <c r="C62" s="18" t="s">
        <v>840</v>
      </c>
      <c r="D62" s="18" t="s">
        <v>856</v>
      </c>
      <c r="E62" s="8" t="s">
        <v>857</v>
      </c>
      <c r="F62" s="8" t="s">
        <v>897</v>
      </c>
      <c r="G62" s="8" t="s">
        <v>1014</v>
      </c>
      <c r="H62" s="18" t="n">
        <v>1</v>
      </c>
      <c r="I62" s="18" t="s">
        <v>1015</v>
      </c>
      <c r="J62" s="18" t="s">
        <v>929</v>
      </c>
      <c r="K62" s="18" t="s">
        <v>982</v>
      </c>
      <c r="L62" s="18" t="s">
        <v>1016</v>
      </c>
    </row>
    <row r="63" customFormat="false" ht="27.75" hidden="false" customHeight="true" outlineLevel="0" collapsed="false">
      <c r="A63" s="17" t="n">
        <v>46317</v>
      </c>
      <c r="B63" s="18" t="n">
        <v>10</v>
      </c>
      <c r="C63" s="18" t="s">
        <v>840</v>
      </c>
      <c r="D63" s="18" t="s">
        <v>856</v>
      </c>
      <c r="E63" s="8" t="s">
        <v>857</v>
      </c>
      <c r="F63" s="8" t="s">
        <v>897</v>
      </c>
      <c r="G63" s="8" t="s">
        <v>1017</v>
      </c>
      <c r="H63" s="18" t="n">
        <v>1</v>
      </c>
      <c r="I63" s="18" t="s">
        <v>1018</v>
      </c>
      <c r="J63" s="18" t="s">
        <v>929</v>
      </c>
      <c r="K63" s="18" t="s">
        <v>982</v>
      </c>
      <c r="L63" s="18" t="s">
        <v>1016</v>
      </c>
    </row>
    <row r="64" customFormat="false" ht="27.75" hidden="false" customHeight="true" outlineLevel="0" collapsed="false">
      <c r="A64" s="17" t="n">
        <v>46318</v>
      </c>
      <c r="B64" s="18" t="n">
        <v>10</v>
      </c>
      <c r="C64" s="18" t="s">
        <v>840</v>
      </c>
      <c r="D64" s="18" t="s">
        <v>856</v>
      </c>
      <c r="E64" s="8" t="s">
        <v>857</v>
      </c>
      <c r="F64" s="8" t="s">
        <v>897</v>
      </c>
      <c r="G64" s="8" t="s">
        <v>1019</v>
      </c>
      <c r="H64" s="18" t="n">
        <v>3</v>
      </c>
      <c r="I64" s="18" t="s">
        <v>1020</v>
      </c>
      <c r="J64" s="18" t="s">
        <v>929</v>
      </c>
      <c r="K64" s="18" t="s">
        <v>982</v>
      </c>
      <c r="L64" s="18" t="s">
        <v>1016</v>
      </c>
    </row>
    <row r="65" customFormat="false" ht="27.75" hidden="false" customHeight="true" outlineLevel="0" collapsed="false">
      <c r="A65" s="17" t="n">
        <v>46318</v>
      </c>
      <c r="B65" s="18" t="n">
        <v>10</v>
      </c>
      <c r="C65" s="18" t="s">
        <v>840</v>
      </c>
      <c r="D65" s="18" t="s">
        <v>856</v>
      </c>
      <c r="E65" s="8" t="s">
        <v>857</v>
      </c>
      <c r="F65" s="8" t="s">
        <v>897</v>
      </c>
      <c r="G65" s="8" t="s">
        <v>1021</v>
      </c>
      <c r="H65" s="18" t="n">
        <v>1</v>
      </c>
      <c r="I65" s="18" t="s">
        <v>1022</v>
      </c>
      <c r="J65" s="18" t="s">
        <v>929</v>
      </c>
      <c r="K65" s="18" t="s">
        <v>982</v>
      </c>
      <c r="L65" s="18" t="s">
        <v>1016</v>
      </c>
    </row>
    <row r="66" customFormat="false" ht="27.75" hidden="false" customHeight="true" outlineLevel="0" collapsed="false">
      <c r="A66" s="17" t="n">
        <v>46314</v>
      </c>
      <c r="B66" s="18" t="n">
        <v>10</v>
      </c>
      <c r="C66" s="18" t="s">
        <v>844</v>
      </c>
      <c r="D66" s="18" t="s">
        <v>856</v>
      </c>
      <c r="E66" s="8" t="s">
        <v>857</v>
      </c>
      <c r="F66" s="8" t="s">
        <v>1023</v>
      </c>
      <c r="G66" s="8" t="s">
        <v>1024</v>
      </c>
      <c r="H66" s="18" t="n">
        <v>3</v>
      </c>
      <c r="I66" s="18" t="s">
        <v>1025</v>
      </c>
      <c r="J66" s="18" t="s">
        <v>861</v>
      </c>
      <c r="K66" s="18" t="s">
        <v>982</v>
      </c>
      <c r="L66" s="18" t="s">
        <v>1026</v>
      </c>
    </row>
    <row r="67" customFormat="false" ht="27.75" hidden="false" customHeight="true" outlineLevel="0" collapsed="false">
      <c r="A67" s="17" t="n">
        <v>46314</v>
      </c>
      <c r="B67" s="18" t="n">
        <v>10</v>
      </c>
      <c r="C67" s="18" t="s">
        <v>844</v>
      </c>
      <c r="D67" s="18" t="s">
        <v>856</v>
      </c>
      <c r="E67" s="8" t="s">
        <v>857</v>
      </c>
      <c r="F67" s="8" t="s">
        <v>883</v>
      </c>
      <c r="G67" s="8" t="s">
        <v>1027</v>
      </c>
      <c r="H67" s="18" t="n">
        <v>4</v>
      </c>
      <c r="I67" s="18" t="s">
        <v>1028</v>
      </c>
      <c r="J67" s="18" t="s">
        <v>861</v>
      </c>
      <c r="K67" s="18" t="s">
        <v>982</v>
      </c>
      <c r="L67" s="18" t="s">
        <v>887</v>
      </c>
    </row>
    <row r="68" customFormat="false" ht="27.75" hidden="false" customHeight="true" outlineLevel="0" collapsed="false">
      <c r="A68" s="17" t="n">
        <v>46314</v>
      </c>
      <c r="B68" s="18" t="n">
        <v>10</v>
      </c>
      <c r="C68" s="18" t="s">
        <v>844</v>
      </c>
      <c r="D68" s="18" t="s">
        <v>856</v>
      </c>
      <c r="E68" s="8" t="s">
        <v>857</v>
      </c>
      <c r="F68" s="8" t="s">
        <v>1023</v>
      </c>
      <c r="G68" s="8" t="s">
        <v>1029</v>
      </c>
      <c r="H68" s="18" t="n">
        <v>4</v>
      </c>
      <c r="I68" s="18" t="s">
        <v>1030</v>
      </c>
      <c r="J68" s="18" t="s">
        <v>861</v>
      </c>
      <c r="K68" s="18" t="s">
        <v>982</v>
      </c>
      <c r="L68" s="18" t="s">
        <v>1026</v>
      </c>
    </row>
    <row r="69" customFormat="false" ht="27.75" hidden="false" customHeight="true" outlineLevel="0" collapsed="false">
      <c r="A69" s="17" t="n">
        <v>46314</v>
      </c>
      <c r="B69" s="18" t="n">
        <v>10</v>
      </c>
      <c r="C69" s="18" t="s">
        <v>844</v>
      </c>
      <c r="D69" s="18" t="s">
        <v>856</v>
      </c>
      <c r="E69" s="8" t="s">
        <v>857</v>
      </c>
      <c r="F69" s="8" t="s">
        <v>883</v>
      </c>
      <c r="G69" s="8" t="s">
        <v>1031</v>
      </c>
      <c r="H69" s="18" t="n">
        <v>4</v>
      </c>
      <c r="I69" s="18" t="s">
        <v>1032</v>
      </c>
      <c r="J69" s="18" t="s">
        <v>861</v>
      </c>
      <c r="K69" s="18" t="s">
        <v>982</v>
      </c>
      <c r="L69" s="18" t="s">
        <v>887</v>
      </c>
    </row>
    <row r="70" customFormat="false" ht="27.75" hidden="false" customHeight="true" outlineLevel="0" collapsed="false">
      <c r="A70" s="17" t="n">
        <v>46318</v>
      </c>
      <c r="B70" s="18" t="n">
        <v>10</v>
      </c>
      <c r="C70" s="18" t="s">
        <v>844</v>
      </c>
      <c r="D70" s="18" t="s">
        <v>856</v>
      </c>
      <c r="E70" s="8" t="s">
        <v>857</v>
      </c>
      <c r="F70" s="8" t="s">
        <v>883</v>
      </c>
      <c r="G70" s="8" t="s">
        <v>1033</v>
      </c>
      <c r="H70" s="18" t="n">
        <v>2</v>
      </c>
      <c r="I70" s="18" t="s">
        <v>1034</v>
      </c>
      <c r="J70" s="18" t="s">
        <v>868</v>
      </c>
      <c r="K70" s="18" t="s">
        <v>982</v>
      </c>
      <c r="L70" s="18" t="s">
        <v>887</v>
      </c>
    </row>
    <row r="71" customFormat="false" ht="27.75" hidden="false" customHeight="true" outlineLevel="0" collapsed="false">
      <c r="A71" s="17" t="n">
        <v>46314</v>
      </c>
      <c r="B71" s="18" t="n">
        <v>10</v>
      </c>
      <c r="C71" s="18" t="s">
        <v>844</v>
      </c>
      <c r="D71" s="18" t="s">
        <v>856</v>
      </c>
      <c r="E71" s="8" t="s">
        <v>857</v>
      </c>
      <c r="F71" s="8" t="s">
        <v>883</v>
      </c>
      <c r="G71" s="8" t="s">
        <v>1035</v>
      </c>
      <c r="H71" s="18" t="n">
        <v>2</v>
      </c>
      <c r="I71" s="18" t="s">
        <v>1036</v>
      </c>
      <c r="J71" s="18" t="s">
        <v>873</v>
      </c>
      <c r="K71" s="18" t="s">
        <v>982</v>
      </c>
      <c r="L71" s="18" t="s">
        <v>887</v>
      </c>
    </row>
    <row r="72" customFormat="false" ht="27.75" hidden="false" customHeight="true" outlineLevel="0" collapsed="false">
      <c r="A72" s="17" t="n">
        <v>46314</v>
      </c>
      <c r="B72" s="18" t="n">
        <v>10</v>
      </c>
      <c r="C72" s="18" t="s">
        <v>844</v>
      </c>
      <c r="D72" s="18" t="s">
        <v>856</v>
      </c>
      <c r="E72" s="8" t="s">
        <v>857</v>
      </c>
      <c r="F72" s="8" t="s">
        <v>883</v>
      </c>
      <c r="G72" s="8" t="s">
        <v>1037</v>
      </c>
      <c r="H72" s="18" t="n">
        <v>1</v>
      </c>
      <c r="I72" s="18" t="s">
        <v>1038</v>
      </c>
      <c r="J72" s="18" t="s">
        <v>873</v>
      </c>
      <c r="K72" s="18" t="s">
        <v>982</v>
      </c>
      <c r="L72" s="18" t="s">
        <v>887</v>
      </c>
    </row>
    <row r="73" customFormat="false" ht="27.75" hidden="false" customHeight="true" outlineLevel="0" collapsed="false">
      <c r="A73" s="17" t="n">
        <v>46314</v>
      </c>
      <c r="B73" s="18" t="n">
        <v>10</v>
      </c>
      <c r="C73" s="18" t="s">
        <v>844</v>
      </c>
      <c r="D73" s="18" t="s">
        <v>856</v>
      </c>
      <c r="E73" s="8" t="s">
        <v>857</v>
      </c>
      <c r="F73" s="8" t="s">
        <v>883</v>
      </c>
      <c r="G73" s="8" t="s">
        <v>1039</v>
      </c>
      <c r="H73" s="18" t="n">
        <v>1</v>
      </c>
      <c r="I73" s="18" t="s">
        <v>1040</v>
      </c>
      <c r="J73" s="18" t="s">
        <v>873</v>
      </c>
      <c r="K73" s="18" t="s">
        <v>982</v>
      </c>
      <c r="L73" s="18" t="s">
        <v>887</v>
      </c>
    </row>
    <row r="74" customFormat="false" ht="27.75" hidden="false" customHeight="true" outlineLevel="0" collapsed="false">
      <c r="A74" s="17" t="n">
        <v>46318</v>
      </c>
      <c r="B74" s="18" t="n">
        <v>10</v>
      </c>
      <c r="C74" s="18" t="s">
        <v>840</v>
      </c>
      <c r="D74" s="18" t="s">
        <v>856</v>
      </c>
      <c r="E74" s="8" t="s">
        <v>857</v>
      </c>
      <c r="F74" s="8" t="s">
        <v>897</v>
      </c>
      <c r="G74" s="8" t="s">
        <v>1041</v>
      </c>
      <c r="H74" s="18" t="n">
        <v>1</v>
      </c>
      <c r="I74" s="18" t="s">
        <v>1042</v>
      </c>
      <c r="J74" s="18" t="s">
        <v>929</v>
      </c>
      <c r="K74" s="18" t="s">
        <v>982</v>
      </c>
      <c r="L74" s="18" t="s">
        <v>1016</v>
      </c>
    </row>
    <row r="75" customFormat="false" ht="27.75" hidden="false" customHeight="true" outlineLevel="0" collapsed="false">
      <c r="A75" s="17" t="n">
        <v>46318</v>
      </c>
      <c r="B75" s="18" t="n">
        <v>10</v>
      </c>
      <c r="C75" s="18" t="s">
        <v>840</v>
      </c>
      <c r="D75" s="18" t="s">
        <v>856</v>
      </c>
      <c r="E75" s="8" t="s">
        <v>857</v>
      </c>
      <c r="F75" s="8" t="s">
        <v>897</v>
      </c>
      <c r="G75" s="8" t="s">
        <v>1043</v>
      </c>
      <c r="H75" s="18" t="n">
        <v>2</v>
      </c>
      <c r="I75" s="18" t="s">
        <v>1044</v>
      </c>
      <c r="J75" s="18" t="s">
        <v>929</v>
      </c>
      <c r="K75" s="18" t="s">
        <v>982</v>
      </c>
      <c r="L75" s="18" t="s">
        <v>1016</v>
      </c>
    </row>
    <row r="76" customFormat="false" ht="27.75" hidden="false" customHeight="true" outlineLevel="0" collapsed="false">
      <c r="A76" s="17" t="n">
        <v>46314</v>
      </c>
      <c r="B76" s="18" t="n">
        <v>10</v>
      </c>
      <c r="C76" s="18" t="s">
        <v>804</v>
      </c>
      <c r="D76" s="18" t="s">
        <v>856</v>
      </c>
      <c r="E76" s="8" t="s">
        <v>857</v>
      </c>
      <c r="F76" s="8" t="s">
        <v>877</v>
      </c>
      <c r="G76" s="8" t="s">
        <v>1045</v>
      </c>
      <c r="H76" s="18" t="n">
        <v>4</v>
      </c>
      <c r="I76" s="18" t="s">
        <v>1046</v>
      </c>
      <c r="J76" s="18" t="s">
        <v>929</v>
      </c>
      <c r="K76" s="18" t="s">
        <v>982</v>
      </c>
      <c r="L76" s="18" t="s">
        <v>1009</v>
      </c>
    </row>
    <row r="77" customFormat="false" ht="27.75" hidden="false" customHeight="true" outlineLevel="0" collapsed="false">
      <c r="A77" s="17" t="n">
        <v>46314</v>
      </c>
      <c r="B77" s="18" t="n">
        <v>10</v>
      </c>
      <c r="C77" s="18" t="s">
        <v>804</v>
      </c>
      <c r="D77" s="18" t="s">
        <v>856</v>
      </c>
      <c r="E77" s="8" t="s">
        <v>857</v>
      </c>
      <c r="F77" s="8" t="s">
        <v>877</v>
      </c>
      <c r="G77" s="8" t="s">
        <v>1047</v>
      </c>
      <c r="H77" s="18" t="n">
        <v>5</v>
      </c>
      <c r="I77" s="18" t="s">
        <v>1048</v>
      </c>
      <c r="J77" s="18" t="s">
        <v>929</v>
      </c>
      <c r="K77" s="18" t="s">
        <v>982</v>
      </c>
      <c r="L77" s="18" t="s">
        <v>1009</v>
      </c>
    </row>
    <row r="78" customFormat="false" ht="27.75" hidden="false" customHeight="true" outlineLevel="0" collapsed="false">
      <c r="A78" s="17" t="n">
        <v>46314</v>
      </c>
      <c r="B78" s="18" t="n">
        <v>10</v>
      </c>
      <c r="C78" s="18" t="s">
        <v>840</v>
      </c>
      <c r="D78" s="18" t="s">
        <v>856</v>
      </c>
      <c r="E78" s="8" t="s">
        <v>857</v>
      </c>
      <c r="F78" s="8" t="s">
        <v>897</v>
      </c>
      <c r="G78" s="8" t="s">
        <v>1049</v>
      </c>
      <c r="H78" s="18" t="n">
        <v>4</v>
      </c>
      <c r="I78" s="18" t="s">
        <v>1050</v>
      </c>
      <c r="J78" s="18" t="s">
        <v>929</v>
      </c>
      <c r="K78" s="18" t="s">
        <v>982</v>
      </c>
      <c r="L78" s="18" t="s">
        <v>1016</v>
      </c>
    </row>
    <row r="79" customFormat="false" ht="27.75" hidden="false" customHeight="true" outlineLevel="0" collapsed="false">
      <c r="A79" s="17" t="n">
        <v>46314</v>
      </c>
      <c r="B79" s="18" t="n">
        <v>10</v>
      </c>
      <c r="C79" s="18" t="s">
        <v>840</v>
      </c>
      <c r="D79" s="18" t="s">
        <v>856</v>
      </c>
      <c r="E79" s="8" t="s">
        <v>857</v>
      </c>
      <c r="F79" s="8" t="s">
        <v>897</v>
      </c>
      <c r="G79" s="8" t="s">
        <v>1051</v>
      </c>
      <c r="H79" s="18" t="n">
        <v>5</v>
      </c>
      <c r="I79" s="18" t="s">
        <v>1052</v>
      </c>
      <c r="J79" s="18" t="s">
        <v>929</v>
      </c>
      <c r="K79" s="18" t="s">
        <v>982</v>
      </c>
      <c r="L79" s="18" t="s">
        <v>1016</v>
      </c>
    </row>
    <row r="80" customFormat="false" ht="68.65" hidden="false" customHeight="false" outlineLevel="0" collapsed="false">
      <c r="A80" s="17" t="n">
        <v>46296</v>
      </c>
      <c r="B80" s="18" t="n">
        <v>10</v>
      </c>
      <c r="C80" s="18" t="s">
        <v>829</v>
      </c>
      <c r="D80" s="18" t="s">
        <v>1053</v>
      </c>
      <c r="E80" s="8" t="s">
        <v>870</v>
      </c>
      <c r="F80" s="8" t="s">
        <v>865</v>
      </c>
      <c r="G80" s="8" t="s">
        <v>1054</v>
      </c>
      <c r="H80" s="18" t="n">
        <v>50</v>
      </c>
      <c r="I80" s="18" t="s">
        <v>1055</v>
      </c>
      <c r="J80" s="18" t="s">
        <v>1056</v>
      </c>
      <c r="K80" s="18" t="s">
        <v>1057</v>
      </c>
      <c r="L80" s="18" t="s">
        <v>1058</v>
      </c>
    </row>
    <row r="81" customFormat="false" ht="41.75" hidden="false" customHeight="false" outlineLevel="0" collapsed="false">
      <c r="A81" s="17" t="n">
        <v>46301</v>
      </c>
      <c r="B81" s="18" t="n">
        <v>10</v>
      </c>
      <c r="C81" s="18" t="s">
        <v>819</v>
      </c>
      <c r="D81" s="18" t="s">
        <v>1053</v>
      </c>
      <c r="E81" s="8" t="s">
        <v>864</v>
      </c>
      <c r="F81" s="8" t="s">
        <v>877</v>
      </c>
      <c r="G81" s="8" t="s">
        <v>1059</v>
      </c>
      <c r="H81" s="18" t="n">
        <v>25</v>
      </c>
      <c r="I81" s="18" t="s">
        <v>1055</v>
      </c>
      <c r="J81" s="18" t="s">
        <v>1056</v>
      </c>
      <c r="K81" s="18" t="s">
        <v>1057</v>
      </c>
      <c r="L81" s="18" t="s">
        <v>1058</v>
      </c>
    </row>
    <row r="82" customFormat="false" ht="41.75" hidden="false" customHeight="false" outlineLevel="0" collapsed="false">
      <c r="A82" s="17" t="n">
        <v>46308</v>
      </c>
      <c r="B82" s="18" t="n">
        <v>10</v>
      </c>
      <c r="C82" s="18" t="s">
        <v>838</v>
      </c>
      <c r="D82" s="18" t="s">
        <v>1053</v>
      </c>
      <c r="E82" s="8" t="s">
        <v>896</v>
      </c>
      <c r="F82" s="8" t="s">
        <v>946</v>
      </c>
      <c r="G82" s="8" t="s">
        <v>1060</v>
      </c>
      <c r="H82" s="18" t="n">
        <v>20</v>
      </c>
      <c r="I82" s="18" t="s">
        <v>1055</v>
      </c>
      <c r="J82" s="18" t="s">
        <v>1056</v>
      </c>
      <c r="K82" s="18" t="s">
        <v>1057</v>
      </c>
      <c r="L82" s="18" t="s">
        <v>1058</v>
      </c>
    </row>
    <row r="83" customFormat="false" ht="28.35" hidden="false" customHeight="false" outlineLevel="0" collapsed="false">
      <c r="A83" s="17" t="n">
        <v>46301</v>
      </c>
      <c r="B83" s="18" t="n">
        <v>10</v>
      </c>
      <c r="C83" s="18" t="s">
        <v>836</v>
      </c>
      <c r="D83" s="18" t="s">
        <v>1053</v>
      </c>
      <c r="E83" s="8" t="s">
        <v>896</v>
      </c>
      <c r="F83" s="8" t="s">
        <v>897</v>
      </c>
      <c r="G83" s="8" t="s">
        <v>1061</v>
      </c>
      <c r="H83" s="18" t="n">
        <v>15</v>
      </c>
      <c r="I83" s="18" t="s">
        <v>1055</v>
      </c>
      <c r="J83" s="18" t="s">
        <v>1056</v>
      </c>
      <c r="K83" s="18" t="s">
        <v>1057</v>
      </c>
      <c r="L83" s="18" t="s">
        <v>1058</v>
      </c>
    </row>
    <row r="84" customFormat="false" ht="68.65" hidden="false" customHeight="false" outlineLevel="0" collapsed="false">
      <c r="A84" s="17" t="n">
        <v>46315</v>
      </c>
      <c r="B84" s="18" t="n">
        <v>10</v>
      </c>
      <c r="C84" s="18" t="s">
        <v>844</v>
      </c>
      <c r="D84" s="18" t="s">
        <v>1053</v>
      </c>
      <c r="E84" s="8" t="s">
        <v>857</v>
      </c>
      <c r="F84" s="8" t="s">
        <v>883</v>
      </c>
      <c r="G84" s="8" t="s">
        <v>1062</v>
      </c>
      <c r="H84" s="18" t="n">
        <v>25</v>
      </c>
      <c r="I84" s="18" t="s">
        <v>1055</v>
      </c>
      <c r="J84" s="18" t="s">
        <v>1056</v>
      </c>
      <c r="K84" s="18" t="s">
        <v>1057</v>
      </c>
      <c r="L84" s="18" t="s">
        <v>1058</v>
      </c>
    </row>
    <row r="85" customFormat="false" ht="41.75" hidden="false" customHeight="false" outlineLevel="0" collapsed="false">
      <c r="A85" s="17" t="n">
        <v>46311</v>
      </c>
      <c r="B85" s="18" t="n">
        <v>10</v>
      </c>
      <c r="C85" s="18" t="s">
        <v>823</v>
      </c>
      <c r="D85" s="18" t="s">
        <v>1053</v>
      </c>
      <c r="E85" s="8" t="s">
        <v>971</v>
      </c>
      <c r="F85" s="8" t="s">
        <v>865</v>
      </c>
      <c r="G85" s="8" t="s">
        <v>1063</v>
      </c>
      <c r="H85" s="18" t="n">
        <v>10</v>
      </c>
      <c r="I85" s="18" t="s">
        <v>1055</v>
      </c>
      <c r="J85" s="18" t="s">
        <v>1056</v>
      </c>
      <c r="K85" s="18" t="s">
        <v>1057</v>
      </c>
      <c r="L85" s="18" t="s">
        <v>1058</v>
      </c>
    </row>
    <row r="86" customFormat="false" ht="28.35" hidden="false" customHeight="false" outlineLevel="0" collapsed="false">
      <c r="A86" s="17" t="n">
        <v>46309</v>
      </c>
      <c r="B86" s="18" t="n">
        <v>10</v>
      </c>
      <c r="C86" s="18" t="s">
        <v>789</v>
      </c>
      <c r="D86" s="18" t="s">
        <v>1053</v>
      </c>
      <c r="E86" s="8" t="s">
        <v>979</v>
      </c>
      <c r="F86" s="8" t="s">
        <v>865</v>
      </c>
      <c r="G86" s="8" t="s">
        <v>1064</v>
      </c>
      <c r="H86" s="18" t="n">
        <v>35</v>
      </c>
      <c r="I86" s="18" t="s">
        <v>1055</v>
      </c>
      <c r="J86" s="18" t="s">
        <v>1056</v>
      </c>
      <c r="K86" s="18" t="s">
        <v>1057</v>
      </c>
      <c r="L86" s="18" t="s">
        <v>1058</v>
      </c>
    </row>
  </sheetData>
  <autoFilter ref="A1:L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60"/>
    <col collapsed="false" customWidth="true" hidden="false" outlineLevel="0" max="4" min="4" style="0" width="22"/>
    <col collapsed="false" customWidth="true" hidden="false" outlineLevel="0" max="6" min="5" style="0" width="9"/>
    <col collapsed="false" customWidth="true" hidden="false" outlineLevel="0" max="8" min="7" style="0" width="12"/>
  </cols>
  <sheetData>
    <row r="1" customFormat="false" ht="39.55" hidden="false" customHeight="false" outlineLevel="0" collapsed="false">
      <c r="A1" s="14" t="s">
        <v>1065</v>
      </c>
      <c r="B1" s="14" t="s">
        <v>1066</v>
      </c>
      <c r="C1" s="14" t="s">
        <v>51</v>
      </c>
      <c r="D1" s="14" t="s">
        <v>592</v>
      </c>
      <c r="E1" s="14" t="s">
        <v>1067</v>
      </c>
      <c r="F1" s="14" t="s">
        <v>1068</v>
      </c>
      <c r="G1" s="14" t="s">
        <v>2</v>
      </c>
      <c r="H1" s="14" t="s">
        <v>1069</v>
      </c>
    </row>
    <row r="2" customFormat="false" ht="41.75" hidden="false" customHeight="false" outlineLevel="0" collapsed="false">
      <c r="A2" s="8" t="s">
        <v>1070</v>
      </c>
      <c r="B2" s="8" t="s">
        <v>1071</v>
      </c>
      <c r="C2" s="8" t="s">
        <v>1072</v>
      </c>
      <c r="D2" s="8" t="s">
        <v>1073</v>
      </c>
      <c r="E2" s="8" t="n">
        <v>1</v>
      </c>
      <c r="F2" s="8" t="n">
        <v>4</v>
      </c>
      <c r="G2" s="8" t="s">
        <v>1074</v>
      </c>
      <c r="H2" s="8" t="s">
        <v>324</v>
      </c>
    </row>
    <row r="3" customFormat="false" ht="28.35" hidden="false" customHeight="false" outlineLevel="0" collapsed="false">
      <c r="A3" s="8" t="s">
        <v>1075</v>
      </c>
      <c r="B3" s="8" t="s">
        <v>1076</v>
      </c>
      <c r="C3" s="8" t="s">
        <v>1077</v>
      </c>
      <c r="D3" s="8" t="s">
        <v>604</v>
      </c>
      <c r="E3" s="8" t="n">
        <v>4</v>
      </c>
      <c r="F3" s="8" t="n">
        <v>6</v>
      </c>
      <c r="G3" s="8" t="s">
        <v>576</v>
      </c>
      <c r="H3" s="8" t="s">
        <v>312</v>
      </c>
    </row>
    <row r="4" customFormat="false" ht="28.35" hidden="false" customHeight="false" outlineLevel="0" collapsed="false">
      <c r="A4" s="8" t="s">
        <v>1078</v>
      </c>
      <c r="B4" s="8" t="s">
        <v>1076</v>
      </c>
      <c r="C4" s="8" t="s">
        <v>1077</v>
      </c>
      <c r="D4" s="8" t="s">
        <v>1079</v>
      </c>
      <c r="E4" s="8" t="n">
        <v>2</v>
      </c>
      <c r="F4" s="8" t="n">
        <v>4</v>
      </c>
      <c r="G4" s="8" t="s">
        <v>576</v>
      </c>
      <c r="H4" s="8" t="s">
        <v>312</v>
      </c>
    </row>
    <row r="5" customFormat="false" ht="15" hidden="false" customHeight="false" outlineLevel="0" collapsed="false">
      <c r="A5" s="8" t="s">
        <v>1080</v>
      </c>
      <c r="B5" s="8" t="s">
        <v>1071</v>
      </c>
      <c r="C5" s="8" t="s">
        <v>1081</v>
      </c>
      <c r="D5" s="8" t="s">
        <v>1079</v>
      </c>
      <c r="E5" s="8" t="n">
        <v>3</v>
      </c>
      <c r="F5" s="8" t="n">
        <v>7</v>
      </c>
      <c r="G5" s="8" t="s">
        <v>576</v>
      </c>
      <c r="H5" s="8" t="s">
        <v>340</v>
      </c>
    </row>
    <row r="6" customFormat="false" ht="28.35" hidden="false" customHeight="false" outlineLevel="0" collapsed="false">
      <c r="A6" s="8" t="s">
        <v>1082</v>
      </c>
      <c r="B6" s="8" t="s">
        <v>1071</v>
      </c>
      <c r="C6" s="8" t="s">
        <v>1083</v>
      </c>
      <c r="D6" s="8" t="s">
        <v>1084</v>
      </c>
      <c r="E6" s="8" t="n">
        <v>2</v>
      </c>
      <c r="F6" s="8" t="n">
        <v>5</v>
      </c>
      <c r="G6" s="8" t="s">
        <v>576</v>
      </c>
      <c r="H6" s="8" t="s">
        <v>340</v>
      </c>
    </row>
    <row r="7" customFormat="false" ht="15" hidden="false" customHeight="false" outlineLevel="0" collapsed="false">
      <c r="A7" s="8" t="s">
        <v>1085</v>
      </c>
      <c r="B7" s="8" t="s">
        <v>1071</v>
      </c>
      <c r="C7" s="8" t="s">
        <v>1081</v>
      </c>
      <c r="D7" s="8" t="s">
        <v>604</v>
      </c>
      <c r="E7" s="8" t="n">
        <v>1</v>
      </c>
      <c r="F7" s="8" t="n">
        <v>3</v>
      </c>
      <c r="G7" s="8" t="s">
        <v>576</v>
      </c>
      <c r="H7" s="8" t="s">
        <v>340</v>
      </c>
    </row>
    <row r="8" customFormat="false" ht="28.35" hidden="false" customHeight="false" outlineLevel="0" collapsed="false">
      <c r="A8" s="8" t="s">
        <v>1086</v>
      </c>
      <c r="B8" s="8" t="s">
        <v>1076</v>
      </c>
      <c r="C8" s="8" t="s">
        <v>1077</v>
      </c>
      <c r="D8" s="8" t="s">
        <v>615</v>
      </c>
      <c r="E8" s="8" t="n">
        <v>4</v>
      </c>
      <c r="F8" s="8" t="n">
        <v>7</v>
      </c>
      <c r="G8" s="8" t="s">
        <v>576</v>
      </c>
      <c r="H8" s="8" t="s">
        <v>336</v>
      </c>
    </row>
    <row r="9" customFormat="false" ht="28.35" hidden="false" customHeight="false" outlineLevel="0" collapsed="false">
      <c r="A9" s="8" t="s">
        <v>1087</v>
      </c>
      <c r="B9" s="8" t="s">
        <v>1071</v>
      </c>
      <c r="C9" s="8" t="s">
        <v>1088</v>
      </c>
      <c r="D9" s="8" t="s">
        <v>615</v>
      </c>
      <c r="E9" s="8" t="n">
        <v>1</v>
      </c>
      <c r="F9" s="8" t="n">
        <v>4</v>
      </c>
      <c r="G9" s="8" t="s">
        <v>578</v>
      </c>
      <c r="H9" s="8" t="s">
        <v>1089</v>
      </c>
    </row>
    <row r="10" customFormat="false" ht="28.35" hidden="false" customHeight="false" outlineLevel="0" collapsed="false">
      <c r="A10" s="8" t="s">
        <v>1090</v>
      </c>
      <c r="B10" s="8" t="s">
        <v>1091</v>
      </c>
      <c r="C10" s="8" t="s">
        <v>1092</v>
      </c>
      <c r="D10" s="8" t="s">
        <v>1056</v>
      </c>
      <c r="E10" s="8" t="n">
        <v>4</v>
      </c>
      <c r="F10" s="8" t="n">
        <v>5</v>
      </c>
      <c r="G10" s="8" t="s">
        <v>576</v>
      </c>
      <c r="H10" s="8" t="s">
        <v>162</v>
      </c>
    </row>
    <row r="11" customFormat="false" ht="28.35" hidden="false" customHeight="false" outlineLevel="0" collapsed="false">
      <c r="A11" s="8" t="s">
        <v>1093</v>
      </c>
      <c r="B11" s="8" t="s">
        <v>1091</v>
      </c>
      <c r="C11" s="8" t="s">
        <v>1092</v>
      </c>
      <c r="D11" s="8" t="s">
        <v>1056</v>
      </c>
      <c r="E11" s="8" t="n">
        <v>5</v>
      </c>
      <c r="F11" s="8" t="n">
        <v>7</v>
      </c>
      <c r="G11" s="8" t="s">
        <v>578</v>
      </c>
      <c r="H11" s="8" t="s">
        <v>244</v>
      </c>
    </row>
    <row r="12" customFormat="false" ht="28.35" hidden="false" customHeight="false" outlineLevel="0" collapsed="false">
      <c r="A12" s="8" t="s">
        <v>1094</v>
      </c>
      <c r="B12" s="8" t="s">
        <v>1095</v>
      </c>
      <c r="C12" s="8" t="s">
        <v>1096</v>
      </c>
      <c r="D12" s="8" t="s">
        <v>1073</v>
      </c>
      <c r="E12" s="8" t="n">
        <v>2</v>
      </c>
      <c r="F12" s="8" t="n">
        <v>5</v>
      </c>
      <c r="G12" s="8" t="s">
        <v>578</v>
      </c>
      <c r="H12" s="8" t="s">
        <v>248</v>
      </c>
    </row>
    <row r="13" customFormat="false" ht="28.35" hidden="false" customHeight="false" outlineLevel="0" collapsed="false">
      <c r="A13" s="8" t="s">
        <v>1097</v>
      </c>
      <c r="B13" s="8" t="s">
        <v>1091</v>
      </c>
      <c r="C13" s="8" t="s">
        <v>1098</v>
      </c>
      <c r="D13" s="8" t="s">
        <v>627</v>
      </c>
      <c r="E13" s="8" t="n">
        <v>3</v>
      </c>
      <c r="F13" s="8" t="n">
        <v>7</v>
      </c>
      <c r="G13" s="8" t="s">
        <v>579</v>
      </c>
      <c r="H13" s="8" t="s">
        <v>316</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24"/>
    <col collapsed="false" customWidth="true" hidden="false" outlineLevel="0" max="4" min="4" style="0" width="26"/>
    <col collapsed="false" customWidth="true" hidden="false" outlineLevel="0" max="5" min="5" style="0" width="7"/>
    <col collapsed="false" customWidth="true" hidden="false" outlineLevel="0" max="7" min="6" style="0" width="9"/>
    <col collapsed="false" customWidth="true" hidden="false" outlineLevel="0" max="8" min="8" style="0" width="11"/>
  </cols>
  <sheetData>
    <row r="1" customFormat="false" ht="39.55" hidden="false" customHeight="false" outlineLevel="0" collapsed="false">
      <c r="A1" s="14" t="s">
        <v>592</v>
      </c>
      <c r="B1" s="14" t="s">
        <v>1099</v>
      </c>
      <c r="C1" s="14" t="s">
        <v>1065</v>
      </c>
      <c r="D1" s="14" t="s">
        <v>1100</v>
      </c>
      <c r="E1" s="14" t="s">
        <v>1101</v>
      </c>
      <c r="F1" s="14" t="s">
        <v>1067</v>
      </c>
      <c r="G1" s="14" t="s">
        <v>1068</v>
      </c>
      <c r="H1" s="14" t="s">
        <v>51</v>
      </c>
    </row>
    <row r="2" customFormat="false" ht="41.75" hidden="false" customHeight="false" outlineLevel="0" collapsed="false">
      <c r="A2" s="8" t="s">
        <v>1084</v>
      </c>
      <c r="B2" s="8" t="s">
        <v>1102</v>
      </c>
      <c r="C2" s="8" t="s">
        <v>1082</v>
      </c>
      <c r="D2" s="8" t="s">
        <v>1103</v>
      </c>
      <c r="E2" s="8" t="s">
        <v>576</v>
      </c>
      <c r="F2" s="8" t="n">
        <v>2</v>
      </c>
      <c r="G2" s="8" t="n">
        <v>5</v>
      </c>
      <c r="H2" s="8" t="s">
        <v>1104</v>
      </c>
    </row>
    <row r="3" customFormat="false" ht="15" hidden="false" customHeight="false" outlineLevel="0" collapsed="false">
      <c r="A3" s="8" t="s">
        <v>1084</v>
      </c>
      <c r="B3" s="8" t="s">
        <v>1105</v>
      </c>
      <c r="C3" s="8" t="s">
        <v>1086</v>
      </c>
      <c r="D3" s="8" t="s">
        <v>1103</v>
      </c>
      <c r="E3" s="8" t="s">
        <v>576</v>
      </c>
      <c r="F3" s="8" t="n">
        <v>4</v>
      </c>
      <c r="G3" s="8" t="n">
        <v>7</v>
      </c>
      <c r="H3" s="8" t="s">
        <v>1104</v>
      </c>
    </row>
    <row r="4" customFormat="false" ht="28.35" hidden="false" customHeight="false" outlineLevel="0" collapsed="false">
      <c r="A4" s="8" t="s">
        <v>1079</v>
      </c>
      <c r="B4" s="8" t="s">
        <v>1106</v>
      </c>
      <c r="C4" s="8" t="s">
        <v>1080</v>
      </c>
      <c r="D4" s="8" t="s">
        <v>1103</v>
      </c>
      <c r="E4" s="8" t="s">
        <v>576</v>
      </c>
      <c r="F4" s="8" t="n">
        <v>3</v>
      </c>
      <c r="G4" s="8" t="n">
        <v>7</v>
      </c>
      <c r="H4" s="8" t="s">
        <v>1104</v>
      </c>
    </row>
    <row r="5" customFormat="false" ht="28.35" hidden="false" customHeight="false" outlineLevel="0" collapsed="false">
      <c r="A5" s="8" t="s">
        <v>1079</v>
      </c>
      <c r="B5" s="8" t="s">
        <v>1107</v>
      </c>
      <c r="C5" s="8" t="s">
        <v>1080</v>
      </c>
      <c r="D5" s="8" t="s">
        <v>1103</v>
      </c>
      <c r="E5" s="8" t="s">
        <v>576</v>
      </c>
      <c r="F5" s="8" t="n">
        <v>3</v>
      </c>
      <c r="G5" s="8" t="n">
        <v>7</v>
      </c>
      <c r="H5" s="8" t="s">
        <v>1104</v>
      </c>
    </row>
    <row r="6" customFormat="false" ht="15" hidden="false" customHeight="false" outlineLevel="0" collapsed="false">
      <c r="A6" s="8" t="s">
        <v>1079</v>
      </c>
      <c r="B6" s="8" t="s">
        <v>1108</v>
      </c>
      <c r="C6" s="8" t="s">
        <v>1087</v>
      </c>
      <c r="D6" s="8" t="s">
        <v>1103</v>
      </c>
      <c r="E6" s="8" t="s">
        <v>578</v>
      </c>
      <c r="F6" s="8" t="n">
        <v>1</v>
      </c>
      <c r="G6" s="8" t="n">
        <v>4</v>
      </c>
      <c r="H6" s="8" t="s">
        <v>1104</v>
      </c>
    </row>
    <row r="7" customFormat="false" ht="28.35" hidden="false" customHeight="false" outlineLevel="0" collapsed="false">
      <c r="A7" s="8" t="s">
        <v>604</v>
      </c>
      <c r="B7" s="8" t="s">
        <v>1109</v>
      </c>
      <c r="C7" s="8" t="s">
        <v>1085</v>
      </c>
      <c r="D7" s="8" t="s">
        <v>1103</v>
      </c>
      <c r="E7" s="8" t="s">
        <v>576</v>
      </c>
      <c r="F7" s="8" t="n">
        <v>1</v>
      </c>
      <c r="G7" s="8" t="n">
        <v>3</v>
      </c>
      <c r="H7" s="8" t="s">
        <v>1104</v>
      </c>
    </row>
    <row r="8" customFormat="false" ht="41.75" hidden="false" customHeight="false" outlineLevel="0" collapsed="false">
      <c r="A8" s="8" t="s">
        <v>604</v>
      </c>
      <c r="B8" s="8" t="s">
        <v>1110</v>
      </c>
      <c r="C8" s="8" t="s">
        <v>1082</v>
      </c>
      <c r="D8" s="8" t="s">
        <v>1103</v>
      </c>
      <c r="E8" s="8" t="s">
        <v>576</v>
      </c>
      <c r="F8" s="8" t="n">
        <v>2</v>
      </c>
      <c r="G8" s="8" t="n">
        <v>5</v>
      </c>
      <c r="H8" s="8" t="s">
        <v>1104</v>
      </c>
    </row>
    <row r="9" customFormat="false" ht="28.35" hidden="false" customHeight="false" outlineLevel="0" collapsed="false">
      <c r="A9" s="8" t="s">
        <v>604</v>
      </c>
      <c r="B9" s="8" t="s">
        <v>1111</v>
      </c>
      <c r="C9" s="8" t="s">
        <v>1112</v>
      </c>
      <c r="D9" s="8" t="s">
        <v>1103</v>
      </c>
      <c r="E9" s="8" t="s">
        <v>586</v>
      </c>
      <c r="F9" s="8" t="n">
        <v>1</v>
      </c>
      <c r="G9" s="8" t="n">
        <v>8</v>
      </c>
      <c r="H9" s="8" t="s">
        <v>1104</v>
      </c>
    </row>
    <row r="10" customFormat="false" ht="28.35" hidden="false" customHeight="false" outlineLevel="0" collapsed="false">
      <c r="A10" s="8" t="s">
        <v>604</v>
      </c>
      <c r="B10" s="8" t="s">
        <v>1113</v>
      </c>
      <c r="C10" s="8" t="s">
        <v>1075</v>
      </c>
      <c r="D10" s="8" t="s">
        <v>1103</v>
      </c>
      <c r="E10" s="8" t="s">
        <v>584</v>
      </c>
      <c r="F10" s="8" t="n">
        <v>4</v>
      </c>
      <c r="G10" s="8" t="n">
        <v>6</v>
      </c>
      <c r="H10" s="8" t="s">
        <v>1104</v>
      </c>
    </row>
    <row r="11" customFormat="false" ht="28.35" hidden="false" customHeight="false" outlineLevel="0" collapsed="false">
      <c r="A11" s="8" t="s">
        <v>615</v>
      </c>
      <c r="B11" s="8" t="s">
        <v>1114</v>
      </c>
      <c r="C11" s="8" t="s">
        <v>1086</v>
      </c>
      <c r="D11" s="8" t="s">
        <v>1103</v>
      </c>
      <c r="E11" s="8" t="s">
        <v>576</v>
      </c>
      <c r="F11" s="8" t="n">
        <v>4</v>
      </c>
      <c r="G11" s="8" t="n">
        <v>7</v>
      </c>
      <c r="H11" s="8" t="s">
        <v>1104</v>
      </c>
    </row>
    <row r="12" customFormat="false" ht="15" hidden="false" customHeight="false" outlineLevel="0" collapsed="false">
      <c r="A12" s="8" t="s">
        <v>615</v>
      </c>
      <c r="B12" s="8" t="s">
        <v>1108</v>
      </c>
      <c r="C12" s="8" t="s">
        <v>1087</v>
      </c>
      <c r="D12" s="8" t="s">
        <v>1103</v>
      </c>
      <c r="E12" s="8" t="s">
        <v>578</v>
      </c>
      <c r="F12" s="8" t="n">
        <v>1</v>
      </c>
      <c r="G12" s="8" t="n">
        <v>4</v>
      </c>
      <c r="H12" s="8" t="s">
        <v>1104</v>
      </c>
    </row>
    <row r="13" customFormat="false" ht="15" hidden="false" customHeight="false" outlineLevel="0" collapsed="false">
      <c r="A13" s="8" t="s">
        <v>615</v>
      </c>
      <c r="B13" s="8" t="s">
        <v>1115</v>
      </c>
      <c r="C13" s="8" t="s">
        <v>1087</v>
      </c>
      <c r="D13" s="8" t="s">
        <v>1116</v>
      </c>
      <c r="E13" s="8" t="s">
        <v>578</v>
      </c>
      <c r="F13" s="8" t="n">
        <v>1</v>
      </c>
      <c r="G13" s="8" t="n">
        <v>4</v>
      </c>
      <c r="H13" s="8" t="s">
        <v>1104</v>
      </c>
    </row>
    <row r="14" customFormat="false" ht="28.35" hidden="false" customHeight="false" outlineLevel="0" collapsed="false">
      <c r="A14" s="8" t="s">
        <v>615</v>
      </c>
      <c r="B14" s="8" t="s">
        <v>1117</v>
      </c>
      <c r="C14" s="8" t="s">
        <v>1087</v>
      </c>
      <c r="D14" s="8" t="s">
        <v>1116</v>
      </c>
      <c r="E14" s="8" t="s">
        <v>578</v>
      </c>
      <c r="F14" s="8" t="n">
        <v>1</v>
      </c>
      <c r="G14" s="8" t="n">
        <v>4</v>
      </c>
      <c r="H14" s="8" t="s">
        <v>1104</v>
      </c>
    </row>
    <row r="15" customFormat="false" ht="28.35" hidden="false" customHeight="false" outlineLevel="0" collapsed="false">
      <c r="A15" s="8" t="s">
        <v>615</v>
      </c>
      <c r="B15" s="8" t="s">
        <v>1118</v>
      </c>
      <c r="C15" s="8" t="s">
        <v>1087</v>
      </c>
      <c r="D15" s="8" t="s">
        <v>1116</v>
      </c>
      <c r="E15" s="8" t="s">
        <v>578</v>
      </c>
      <c r="F15" s="8" t="n">
        <v>1</v>
      </c>
      <c r="G15" s="8" t="n">
        <v>4</v>
      </c>
      <c r="H15" s="8" t="s">
        <v>1104</v>
      </c>
    </row>
    <row r="16" customFormat="false" ht="15" hidden="false" customHeight="false" outlineLevel="0" collapsed="false">
      <c r="A16" s="8" t="s">
        <v>615</v>
      </c>
      <c r="B16" s="8" t="s">
        <v>1119</v>
      </c>
      <c r="C16" s="8" t="s">
        <v>1087</v>
      </c>
      <c r="D16" s="8" t="s">
        <v>1116</v>
      </c>
      <c r="E16" s="8" t="s">
        <v>578</v>
      </c>
      <c r="F16" s="8" t="n">
        <v>1</v>
      </c>
      <c r="G16" s="8" t="n">
        <v>4</v>
      </c>
      <c r="H16" s="8" t="s">
        <v>1104</v>
      </c>
    </row>
    <row r="17" customFormat="false" ht="15" hidden="false" customHeight="false" outlineLevel="0" collapsed="false">
      <c r="A17" s="8" t="s">
        <v>615</v>
      </c>
      <c r="B17" s="8" t="s">
        <v>1120</v>
      </c>
      <c r="C17" s="8" t="s">
        <v>1087</v>
      </c>
      <c r="D17" s="8" t="s">
        <v>1116</v>
      </c>
      <c r="E17" s="8" t="s">
        <v>578</v>
      </c>
      <c r="F17" s="8" t="n">
        <v>1</v>
      </c>
      <c r="G17" s="8" t="n">
        <v>4</v>
      </c>
      <c r="H17" s="8" t="s">
        <v>1104</v>
      </c>
    </row>
    <row r="18" customFormat="false" ht="28.35" hidden="false" customHeight="false" outlineLevel="0" collapsed="false">
      <c r="A18" s="8" t="s">
        <v>615</v>
      </c>
      <c r="B18" s="8" t="s">
        <v>1121</v>
      </c>
      <c r="C18" s="8" t="s">
        <v>1087</v>
      </c>
      <c r="D18" s="8" t="s">
        <v>1116</v>
      </c>
      <c r="E18" s="8" t="s">
        <v>578</v>
      </c>
      <c r="F18" s="8" t="n">
        <v>1</v>
      </c>
      <c r="G18" s="8" t="n">
        <v>4</v>
      </c>
      <c r="H18" s="8" t="s">
        <v>1104</v>
      </c>
    </row>
    <row r="19" customFormat="false" ht="28.35" hidden="false" customHeight="false" outlineLevel="0" collapsed="false">
      <c r="A19" s="8" t="s">
        <v>615</v>
      </c>
      <c r="B19" s="8" t="s">
        <v>1122</v>
      </c>
      <c r="C19" s="8" t="s">
        <v>1087</v>
      </c>
      <c r="D19" s="8" t="s">
        <v>1116</v>
      </c>
      <c r="E19" s="8" t="s">
        <v>578</v>
      </c>
      <c r="F19" s="8" t="n">
        <v>1</v>
      </c>
      <c r="G19" s="8" t="n">
        <v>4</v>
      </c>
      <c r="H19" s="8" t="s">
        <v>1104</v>
      </c>
    </row>
    <row r="20" customFormat="false" ht="15" hidden="false" customHeight="false" outlineLevel="0" collapsed="false">
      <c r="A20" s="8" t="s">
        <v>615</v>
      </c>
      <c r="B20" s="8" t="s">
        <v>1123</v>
      </c>
      <c r="C20" s="8" t="s">
        <v>1087</v>
      </c>
      <c r="D20" s="8" t="s">
        <v>1116</v>
      </c>
      <c r="E20" s="8" t="s">
        <v>578</v>
      </c>
      <c r="F20" s="8" t="n">
        <v>1</v>
      </c>
      <c r="G20" s="8" t="n">
        <v>4</v>
      </c>
      <c r="H20" s="8" t="s">
        <v>1104</v>
      </c>
    </row>
    <row r="21" customFormat="false" ht="15" hidden="false" customHeight="false" outlineLevel="0" collapsed="false">
      <c r="A21" s="8" t="s">
        <v>615</v>
      </c>
      <c r="B21" s="8" t="s">
        <v>1124</v>
      </c>
      <c r="C21" s="8" t="s">
        <v>1087</v>
      </c>
      <c r="D21" s="8" t="s">
        <v>1116</v>
      </c>
      <c r="E21" s="8" t="s">
        <v>578</v>
      </c>
      <c r="F21" s="8" t="n">
        <v>1</v>
      </c>
      <c r="G21" s="8" t="n">
        <v>4</v>
      </c>
      <c r="H21" s="8" t="s">
        <v>1104</v>
      </c>
    </row>
    <row r="22" customFormat="false" ht="28.35" hidden="false" customHeight="false" outlineLevel="0" collapsed="false">
      <c r="A22" s="8" t="s">
        <v>615</v>
      </c>
      <c r="B22" s="8" t="s">
        <v>1125</v>
      </c>
      <c r="C22" s="8" t="s">
        <v>1087</v>
      </c>
      <c r="D22" s="8" t="s">
        <v>1116</v>
      </c>
      <c r="E22" s="8" t="s">
        <v>578</v>
      </c>
      <c r="F22" s="8" t="n">
        <v>1</v>
      </c>
      <c r="G22" s="8" t="n">
        <v>4</v>
      </c>
      <c r="H22" s="8" t="s">
        <v>1104</v>
      </c>
    </row>
    <row r="23" customFormat="false" ht="28.35" hidden="false" customHeight="false" outlineLevel="0" collapsed="false">
      <c r="A23" s="8" t="s">
        <v>1079</v>
      </c>
      <c r="B23" s="8" t="s">
        <v>1126</v>
      </c>
      <c r="C23" s="8" t="s">
        <v>1087</v>
      </c>
      <c r="D23" s="8" t="s">
        <v>1116</v>
      </c>
      <c r="E23" s="8" t="s">
        <v>578</v>
      </c>
      <c r="F23" s="8" t="n">
        <v>1</v>
      </c>
      <c r="G23" s="8" t="n">
        <v>4</v>
      </c>
      <c r="H23" s="8" t="s">
        <v>1104</v>
      </c>
    </row>
    <row r="24" customFormat="false" ht="15" hidden="false" customHeight="false" outlineLevel="0" collapsed="false">
      <c r="A24" s="8" t="s">
        <v>1079</v>
      </c>
      <c r="B24" s="8" t="s">
        <v>1127</v>
      </c>
      <c r="C24" s="8" t="s">
        <v>1087</v>
      </c>
      <c r="D24" s="8" t="s">
        <v>1116</v>
      </c>
      <c r="E24" s="8" t="s">
        <v>578</v>
      </c>
      <c r="F24" s="8" t="n">
        <v>1</v>
      </c>
      <c r="G24" s="8" t="n">
        <v>4</v>
      </c>
      <c r="H24" s="8" t="s">
        <v>1104</v>
      </c>
    </row>
    <row r="25" customFormat="false" ht="15" hidden="false" customHeight="false" outlineLevel="0" collapsed="false">
      <c r="A25" s="8" t="s">
        <v>1079</v>
      </c>
      <c r="B25" s="8" t="s">
        <v>1128</v>
      </c>
      <c r="C25" s="8" t="s">
        <v>1087</v>
      </c>
      <c r="D25" s="8" t="s">
        <v>1116</v>
      </c>
      <c r="E25" s="8" t="s">
        <v>578</v>
      </c>
      <c r="F25" s="8" t="n">
        <v>1</v>
      </c>
      <c r="G25" s="8" t="n">
        <v>4</v>
      </c>
      <c r="H25" s="8" t="s">
        <v>1104</v>
      </c>
    </row>
    <row r="26" customFormat="false" ht="15" hidden="false" customHeight="false" outlineLevel="0" collapsed="false">
      <c r="A26" s="8" t="s">
        <v>1079</v>
      </c>
      <c r="B26" s="8" t="s">
        <v>1129</v>
      </c>
      <c r="C26" s="8" t="s">
        <v>1087</v>
      </c>
      <c r="D26" s="8" t="s">
        <v>1116</v>
      </c>
      <c r="E26" s="8" t="s">
        <v>578</v>
      </c>
      <c r="F26" s="8" t="n">
        <v>1</v>
      </c>
      <c r="G26" s="8" t="n">
        <v>4</v>
      </c>
      <c r="H26" s="8" t="s">
        <v>1104</v>
      </c>
    </row>
    <row r="27" customFormat="false" ht="28.35" hidden="false" customHeight="false" outlineLevel="0" collapsed="false">
      <c r="A27" s="8" t="s">
        <v>1079</v>
      </c>
      <c r="B27" s="8" t="s">
        <v>1130</v>
      </c>
      <c r="C27" s="8" t="s">
        <v>1087</v>
      </c>
      <c r="D27" s="8" t="s">
        <v>1116</v>
      </c>
      <c r="E27" s="8" t="s">
        <v>578</v>
      </c>
      <c r="F27" s="8" t="n">
        <v>1</v>
      </c>
      <c r="G27" s="8" t="n">
        <v>4</v>
      </c>
      <c r="H27" s="8" t="s">
        <v>1104</v>
      </c>
    </row>
    <row r="28" customFormat="false" ht="15" hidden="false" customHeight="false" outlineLevel="0" collapsed="false">
      <c r="A28" s="8" t="s">
        <v>1079</v>
      </c>
      <c r="B28" s="8" t="s">
        <v>1131</v>
      </c>
      <c r="C28" s="8" t="s">
        <v>1087</v>
      </c>
      <c r="D28" s="8" t="s">
        <v>1116</v>
      </c>
      <c r="E28" s="8" t="s">
        <v>578</v>
      </c>
      <c r="F28" s="8" t="n">
        <v>1</v>
      </c>
      <c r="G28" s="8" t="n">
        <v>4</v>
      </c>
      <c r="H28" s="8" t="s">
        <v>1104</v>
      </c>
    </row>
    <row r="29" customFormat="false" ht="15" hidden="false" customHeight="false" outlineLevel="0" collapsed="false">
      <c r="A29" s="8" t="s">
        <v>1079</v>
      </c>
      <c r="B29" s="8" t="s">
        <v>1132</v>
      </c>
      <c r="C29" s="8" t="s">
        <v>1087</v>
      </c>
      <c r="D29" s="8" t="s">
        <v>1116</v>
      </c>
      <c r="E29" s="8" t="s">
        <v>578</v>
      </c>
      <c r="F29" s="8" t="n">
        <v>1</v>
      </c>
      <c r="G29" s="8" t="n">
        <v>4</v>
      </c>
      <c r="H29" s="8" t="s">
        <v>1104</v>
      </c>
    </row>
    <row r="30" customFormat="false" ht="28.35" hidden="false" customHeight="false" outlineLevel="0" collapsed="false">
      <c r="A30" s="8" t="s">
        <v>1133</v>
      </c>
      <c r="B30" s="8" t="s">
        <v>1134</v>
      </c>
      <c r="C30" s="8" t="s">
        <v>1087</v>
      </c>
      <c r="D30" s="8" t="s">
        <v>1116</v>
      </c>
      <c r="E30" s="8" t="s">
        <v>578</v>
      </c>
      <c r="F30" s="8" t="n">
        <v>1</v>
      </c>
      <c r="G30" s="8" t="n">
        <v>4</v>
      </c>
      <c r="H30" s="8" t="s">
        <v>1133</v>
      </c>
    </row>
    <row r="31" customFormat="false" ht="28.35" hidden="false" customHeight="false" outlineLevel="0" collapsed="false">
      <c r="A31" s="8" t="s">
        <v>1133</v>
      </c>
      <c r="B31" s="8" t="s">
        <v>1135</v>
      </c>
      <c r="C31" s="8" t="s">
        <v>1082</v>
      </c>
      <c r="D31" s="8" t="s">
        <v>1136</v>
      </c>
      <c r="E31" s="8" t="s">
        <v>576</v>
      </c>
      <c r="F31" s="8" t="n">
        <v>2</v>
      </c>
      <c r="G31" s="8" t="n">
        <v>5</v>
      </c>
      <c r="H31" s="8" t="s">
        <v>1137</v>
      </c>
    </row>
    <row r="32" customFormat="false" ht="41.75" hidden="false" customHeight="false" outlineLevel="0" collapsed="false">
      <c r="A32" s="8" t="s">
        <v>1133</v>
      </c>
      <c r="B32" s="8" t="s">
        <v>1138</v>
      </c>
      <c r="C32" s="8" t="s">
        <v>1082</v>
      </c>
      <c r="D32" s="8" t="s">
        <v>1136</v>
      </c>
      <c r="E32" s="8" t="s">
        <v>576</v>
      </c>
      <c r="F32" s="8" t="n">
        <v>2</v>
      </c>
      <c r="G32" s="8" t="n">
        <v>5</v>
      </c>
      <c r="H32" s="8" t="s">
        <v>1137</v>
      </c>
    </row>
    <row r="33" customFormat="false" ht="28.35" hidden="false" customHeight="false" outlineLevel="0" collapsed="false">
      <c r="A33" s="8" t="s">
        <v>1133</v>
      </c>
      <c r="B33" s="8" t="s">
        <v>1139</v>
      </c>
      <c r="C33" s="8" t="s">
        <v>1082</v>
      </c>
      <c r="D33" s="8" t="s">
        <v>1136</v>
      </c>
      <c r="E33" s="8" t="s">
        <v>576</v>
      </c>
      <c r="F33" s="8" t="n">
        <v>2</v>
      </c>
      <c r="G33" s="8" t="n">
        <v>5</v>
      </c>
      <c r="H33" s="8" t="s">
        <v>1137</v>
      </c>
    </row>
    <row r="34" customFormat="false" ht="28.35" hidden="false" customHeight="false" outlineLevel="0" collapsed="false">
      <c r="A34" s="8" t="s">
        <v>1133</v>
      </c>
      <c r="B34" s="8" t="s">
        <v>1140</v>
      </c>
      <c r="C34" s="8" t="s">
        <v>1082</v>
      </c>
      <c r="D34" s="8" t="s">
        <v>1136</v>
      </c>
      <c r="E34" s="8" t="s">
        <v>576</v>
      </c>
      <c r="F34" s="8" t="n">
        <v>2</v>
      </c>
      <c r="G34" s="8" t="n">
        <v>5</v>
      </c>
      <c r="H34" s="8" t="s">
        <v>1137</v>
      </c>
    </row>
    <row r="35" customFormat="false" ht="28.35" hidden="false" customHeight="false" outlineLevel="0" collapsed="false">
      <c r="A35" s="8" t="s">
        <v>1133</v>
      </c>
      <c r="B35" s="8" t="s">
        <v>1141</v>
      </c>
      <c r="C35" s="8" t="s">
        <v>1082</v>
      </c>
      <c r="D35" s="8" t="s">
        <v>1136</v>
      </c>
      <c r="E35" s="8" t="s">
        <v>576</v>
      </c>
      <c r="F35" s="8" t="n">
        <v>2</v>
      </c>
      <c r="G35" s="8" t="n">
        <v>5</v>
      </c>
      <c r="H35" s="8" t="s">
        <v>1137</v>
      </c>
    </row>
    <row r="36" customFormat="false" ht="28.35" hidden="false" customHeight="false" outlineLevel="0" collapsed="false">
      <c r="A36" s="8" t="s">
        <v>1133</v>
      </c>
      <c r="B36" s="8" t="s">
        <v>1142</v>
      </c>
      <c r="C36" s="8" t="s">
        <v>1082</v>
      </c>
      <c r="D36" s="8" t="s">
        <v>1136</v>
      </c>
      <c r="E36" s="8" t="s">
        <v>576</v>
      </c>
      <c r="F36" s="8" t="n">
        <v>2</v>
      </c>
      <c r="G36" s="8" t="n">
        <v>5</v>
      </c>
      <c r="H36" s="8" t="s">
        <v>1137</v>
      </c>
    </row>
  </sheetData>
  <autoFilter ref="A1:H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0"/>
    <col collapsed="false" customWidth="true" hidden="false" outlineLevel="0" max="4" min="4" style="0" width="18"/>
    <col collapsed="false" customWidth="true" hidden="false" outlineLevel="0" max="5" min="5" style="0" width="56"/>
    <col collapsed="false" customWidth="true" hidden="false" outlineLevel="0" max="7" min="6" style="0" width="9"/>
    <col collapsed="false" customWidth="true" hidden="false" outlineLevel="0" max="8" min="8" style="0" width="44"/>
  </cols>
  <sheetData>
    <row r="1" customFormat="false" ht="39.55" hidden="false" customHeight="false" outlineLevel="0" collapsed="false">
      <c r="A1" s="14" t="s">
        <v>1143</v>
      </c>
      <c r="B1" s="14" t="s">
        <v>1144</v>
      </c>
      <c r="C1" s="14" t="s">
        <v>1145</v>
      </c>
      <c r="D1" s="14" t="s">
        <v>592</v>
      </c>
      <c r="E1" s="14" t="s">
        <v>1146</v>
      </c>
      <c r="F1" s="14" t="s">
        <v>1067</v>
      </c>
      <c r="G1" s="14" t="s">
        <v>1068</v>
      </c>
      <c r="H1" s="14" t="s">
        <v>660</v>
      </c>
    </row>
    <row r="2" customFormat="false" ht="15" hidden="false" customHeight="false" outlineLevel="0" collapsed="false">
      <c r="A2" s="8" t="n">
        <v>1</v>
      </c>
      <c r="B2" s="8" t="s">
        <v>1147</v>
      </c>
      <c r="C2" s="19" t="n">
        <v>0.95</v>
      </c>
      <c r="D2" s="8" t="s">
        <v>604</v>
      </c>
      <c r="E2" s="8" t="s">
        <v>1148</v>
      </c>
      <c r="F2" s="8" t="n">
        <v>1</v>
      </c>
      <c r="G2" s="8" t="n">
        <v>3</v>
      </c>
      <c r="H2" s="8" t="s">
        <v>1149</v>
      </c>
    </row>
    <row r="3" customFormat="false" ht="15" hidden="false" customHeight="false" outlineLevel="0" collapsed="false">
      <c r="A3" s="8" t="n">
        <v>1</v>
      </c>
      <c r="B3" s="8" t="s">
        <v>1147</v>
      </c>
      <c r="C3" s="19" t="n">
        <v>0.95</v>
      </c>
      <c r="D3" s="8" t="s">
        <v>604</v>
      </c>
      <c r="E3" s="8" t="s">
        <v>238</v>
      </c>
      <c r="F3" s="8" t="n">
        <v>1</v>
      </c>
      <c r="G3" s="8" t="n">
        <v>3</v>
      </c>
      <c r="H3" s="8" t="s">
        <v>1149</v>
      </c>
    </row>
    <row r="4" customFormat="false" ht="15" hidden="false" customHeight="false" outlineLevel="0" collapsed="false">
      <c r="A4" s="8" t="n">
        <v>1</v>
      </c>
      <c r="B4" s="8" t="s">
        <v>1147</v>
      </c>
      <c r="C4" s="19" t="n">
        <v>0.95</v>
      </c>
      <c r="D4" s="8" t="s">
        <v>604</v>
      </c>
      <c r="E4" s="8" t="s">
        <v>1150</v>
      </c>
      <c r="F4" s="8" t="n">
        <v>1</v>
      </c>
      <c r="G4" s="8" t="n">
        <v>3</v>
      </c>
      <c r="H4" s="8" t="s">
        <v>1149</v>
      </c>
    </row>
    <row r="5" customFormat="false" ht="15" hidden="false" customHeight="false" outlineLevel="0" collapsed="false">
      <c r="A5" s="8" t="n">
        <v>1</v>
      </c>
      <c r="B5" s="8" t="s">
        <v>1147</v>
      </c>
      <c r="C5" s="19" t="n">
        <v>0.95</v>
      </c>
      <c r="D5" s="8" t="s">
        <v>604</v>
      </c>
      <c r="E5" s="8" t="s">
        <v>1151</v>
      </c>
      <c r="F5" s="8" t="n">
        <v>1</v>
      </c>
      <c r="G5" s="8" t="n">
        <v>3</v>
      </c>
      <c r="H5" s="8" t="s">
        <v>1149</v>
      </c>
    </row>
    <row r="6" customFormat="false" ht="15" hidden="false" customHeight="false" outlineLevel="0" collapsed="false">
      <c r="A6" s="8" t="n">
        <v>1</v>
      </c>
      <c r="B6" s="8" t="s">
        <v>1147</v>
      </c>
      <c r="C6" s="19" t="n">
        <v>0.95</v>
      </c>
      <c r="D6" s="8" t="s">
        <v>604</v>
      </c>
      <c r="E6" s="8" t="s">
        <v>1152</v>
      </c>
      <c r="F6" s="8" t="n">
        <v>1</v>
      </c>
      <c r="G6" s="8" t="n">
        <v>3</v>
      </c>
      <c r="H6" s="8" t="s">
        <v>1149</v>
      </c>
    </row>
    <row r="7" customFormat="false" ht="15" hidden="false" customHeight="false" outlineLevel="0" collapsed="false">
      <c r="A7" s="8" t="n">
        <v>1</v>
      </c>
      <c r="B7" s="8" t="s">
        <v>1147</v>
      </c>
      <c r="C7" s="19" t="n">
        <v>0.95</v>
      </c>
      <c r="D7" s="8" t="s">
        <v>604</v>
      </c>
      <c r="E7" s="8" t="s">
        <v>1153</v>
      </c>
      <c r="F7" s="8" t="n">
        <v>1</v>
      </c>
      <c r="G7" s="8" t="n">
        <v>3</v>
      </c>
      <c r="H7" s="8" t="s">
        <v>1149</v>
      </c>
    </row>
    <row r="8" customFormat="false" ht="15" hidden="false" customHeight="false" outlineLevel="0" collapsed="false">
      <c r="A8" s="8" t="n">
        <v>1</v>
      </c>
      <c r="B8" s="8" t="s">
        <v>1147</v>
      </c>
      <c r="C8" s="19" t="n">
        <v>0.95</v>
      </c>
      <c r="D8" s="8" t="s">
        <v>604</v>
      </c>
      <c r="E8" s="8" t="s">
        <v>1154</v>
      </c>
      <c r="F8" s="8" t="n">
        <v>1</v>
      </c>
      <c r="G8" s="8" t="n">
        <v>3</v>
      </c>
      <c r="H8" s="8" t="s">
        <v>1149</v>
      </c>
    </row>
    <row r="9" customFormat="false" ht="15" hidden="false" customHeight="false" outlineLevel="0" collapsed="false">
      <c r="A9" s="8" t="n">
        <v>1</v>
      </c>
      <c r="B9" s="8" t="s">
        <v>1147</v>
      </c>
      <c r="C9" s="19" t="n">
        <v>0.95</v>
      </c>
      <c r="D9" s="8" t="s">
        <v>604</v>
      </c>
      <c r="E9" s="8" t="s">
        <v>1155</v>
      </c>
      <c r="F9" s="8" t="n">
        <v>1</v>
      </c>
      <c r="G9" s="8" t="n">
        <v>3</v>
      </c>
      <c r="H9" s="8" t="s">
        <v>1149</v>
      </c>
    </row>
    <row r="10" customFormat="false" ht="15" hidden="false" customHeight="false" outlineLevel="0" collapsed="false">
      <c r="A10" s="8" t="n">
        <v>1</v>
      </c>
      <c r="B10" s="8" t="s">
        <v>1147</v>
      </c>
      <c r="C10" s="19" t="n">
        <v>0.95</v>
      </c>
      <c r="D10" s="8" t="s">
        <v>604</v>
      </c>
      <c r="E10" s="8" t="s">
        <v>1156</v>
      </c>
      <c r="F10" s="8" t="n">
        <v>1</v>
      </c>
      <c r="G10" s="8" t="n">
        <v>3</v>
      </c>
      <c r="H10" s="8" t="s">
        <v>1149</v>
      </c>
    </row>
    <row r="11" customFormat="false" ht="15" hidden="false" customHeight="false" outlineLevel="0" collapsed="false">
      <c r="A11" s="8" t="n">
        <v>1</v>
      </c>
      <c r="B11" s="8" t="s">
        <v>1147</v>
      </c>
      <c r="C11" s="19" t="n">
        <v>0.95</v>
      </c>
      <c r="D11" s="8" t="s">
        <v>604</v>
      </c>
      <c r="E11" s="8" t="s">
        <v>1157</v>
      </c>
      <c r="F11" s="8" t="n">
        <v>1</v>
      </c>
      <c r="G11" s="8" t="n">
        <v>3</v>
      </c>
      <c r="H11" s="8" t="s">
        <v>1149</v>
      </c>
    </row>
    <row r="12" customFormat="false" ht="28.35" hidden="false" customHeight="false" outlineLevel="0" collapsed="false">
      <c r="A12" s="8" t="n">
        <v>1</v>
      </c>
      <c r="B12" s="8" t="s">
        <v>1147</v>
      </c>
      <c r="C12" s="19" t="n">
        <v>0.95</v>
      </c>
      <c r="D12" s="8" t="s">
        <v>604</v>
      </c>
      <c r="E12" s="8" t="s">
        <v>1158</v>
      </c>
      <c r="F12" s="8" t="n">
        <v>1</v>
      </c>
      <c r="G12" s="8" t="n">
        <v>3</v>
      </c>
      <c r="H12" s="8" t="s">
        <v>1149</v>
      </c>
    </row>
    <row r="13" customFormat="false" ht="28.35" hidden="false" customHeight="false" outlineLevel="0" collapsed="false">
      <c r="A13" s="8" t="n">
        <v>2</v>
      </c>
      <c r="B13" s="8" t="s">
        <v>1159</v>
      </c>
      <c r="C13" s="19" t="n">
        <v>0.8</v>
      </c>
      <c r="D13" s="8" t="s">
        <v>604</v>
      </c>
      <c r="E13" s="8" t="s">
        <v>1148</v>
      </c>
      <c r="F13" s="8" t="n">
        <v>5</v>
      </c>
      <c r="G13" s="8" t="n">
        <v>6</v>
      </c>
      <c r="H13" s="8" t="s">
        <v>1160</v>
      </c>
    </row>
    <row r="14" customFormat="false" ht="28.35" hidden="false" customHeight="false" outlineLevel="0" collapsed="false">
      <c r="A14" s="8" t="n">
        <v>2</v>
      </c>
      <c r="B14" s="8" t="s">
        <v>1159</v>
      </c>
      <c r="C14" s="19" t="n">
        <v>0.8</v>
      </c>
      <c r="D14" s="8" t="s">
        <v>604</v>
      </c>
      <c r="E14" s="8" t="s">
        <v>238</v>
      </c>
      <c r="F14" s="8" t="n">
        <v>5</v>
      </c>
      <c r="G14" s="8" t="n">
        <v>6</v>
      </c>
      <c r="H14" s="8" t="s">
        <v>1160</v>
      </c>
    </row>
    <row r="15" customFormat="false" ht="28.35" hidden="false" customHeight="false" outlineLevel="0" collapsed="false">
      <c r="A15" s="8" t="n">
        <v>2</v>
      </c>
      <c r="B15" s="8" t="s">
        <v>1159</v>
      </c>
      <c r="C15" s="19" t="n">
        <v>0.8</v>
      </c>
      <c r="D15" s="8" t="s">
        <v>604</v>
      </c>
      <c r="E15" s="8" t="s">
        <v>1150</v>
      </c>
      <c r="F15" s="8" t="n">
        <v>5</v>
      </c>
      <c r="G15" s="8" t="n">
        <v>6</v>
      </c>
      <c r="H15" s="8" t="s">
        <v>1160</v>
      </c>
    </row>
    <row r="16" customFormat="false" ht="28.35" hidden="false" customHeight="false" outlineLevel="0" collapsed="false">
      <c r="A16" s="8" t="n">
        <v>2</v>
      </c>
      <c r="B16" s="8" t="s">
        <v>1159</v>
      </c>
      <c r="C16" s="19" t="n">
        <v>0.8</v>
      </c>
      <c r="D16" s="8" t="s">
        <v>604</v>
      </c>
      <c r="E16" s="8" t="s">
        <v>1151</v>
      </c>
      <c r="F16" s="8" t="n">
        <v>5</v>
      </c>
      <c r="G16" s="8" t="n">
        <v>6</v>
      </c>
      <c r="H16" s="8" t="s">
        <v>1160</v>
      </c>
    </row>
    <row r="17" customFormat="false" ht="28.35" hidden="false" customHeight="false" outlineLevel="0" collapsed="false">
      <c r="A17" s="8" t="n">
        <v>2</v>
      </c>
      <c r="B17" s="8" t="s">
        <v>1159</v>
      </c>
      <c r="C17" s="19" t="n">
        <v>0.8</v>
      </c>
      <c r="D17" s="8" t="s">
        <v>604</v>
      </c>
      <c r="E17" s="8" t="s">
        <v>1152</v>
      </c>
      <c r="F17" s="8" t="n">
        <v>5</v>
      </c>
      <c r="G17" s="8" t="n">
        <v>6</v>
      </c>
      <c r="H17" s="8" t="s">
        <v>1160</v>
      </c>
    </row>
    <row r="18" customFormat="false" ht="28.35" hidden="false" customHeight="false" outlineLevel="0" collapsed="false">
      <c r="A18" s="8" t="n">
        <v>2</v>
      </c>
      <c r="B18" s="8" t="s">
        <v>1159</v>
      </c>
      <c r="C18" s="19" t="n">
        <v>0.8</v>
      </c>
      <c r="D18" s="8" t="s">
        <v>604</v>
      </c>
      <c r="E18" s="8" t="s">
        <v>1153</v>
      </c>
      <c r="F18" s="8" t="n">
        <v>5</v>
      </c>
      <c r="G18" s="8" t="n">
        <v>6</v>
      </c>
      <c r="H18" s="8" t="s">
        <v>1160</v>
      </c>
    </row>
    <row r="19" customFormat="false" ht="28.35" hidden="false" customHeight="false" outlineLevel="0" collapsed="false">
      <c r="A19" s="8" t="n">
        <v>2</v>
      </c>
      <c r="B19" s="8" t="s">
        <v>1159</v>
      </c>
      <c r="C19" s="19" t="n">
        <v>0.8</v>
      </c>
      <c r="D19" s="8" t="s">
        <v>604</v>
      </c>
      <c r="E19" s="8" t="s">
        <v>1154</v>
      </c>
      <c r="F19" s="8" t="n">
        <v>5</v>
      </c>
      <c r="G19" s="8" t="n">
        <v>6</v>
      </c>
      <c r="H19" s="8" t="s">
        <v>1160</v>
      </c>
    </row>
    <row r="20" customFormat="false" ht="28.35" hidden="false" customHeight="false" outlineLevel="0" collapsed="false">
      <c r="A20" s="8" t="n">
        <v>2</v>
      </c>
      <c r="B20" s="8" t="s">
        <v>1159</v>
      </c>
      <c r="C20" s="19" t="n">
        <v>0.8</v>
      </c>
      <c r="D20" s="8" t="s">
        <v>604</v>
      </c>
      <c r="E20" s="8" t="s">
        <v>1155</v>
      </c>
      <c r="F20" s="8" t="n">
        <v>5</v>
      </c>
      <c r="G20" s="8" t="n">
        <v>6</v>
      </c>
      <c r="H20" s="8" t="s">
        <v>1160</v>
      </c>
    </row>
    <row r="21" customFormat="false" ht="28.35" hidden="false" customHeight="false" outlineLevel="0" collapsed="false">
      <c r="A21" s="8" t="n">
        <v>2</v>
      </c>
      <c r="B21" s="8" t="s">
        <v>1159</v>
      </c>
      <c r="C21" s="19" t="n">
        <v>0.8</v>
      </c>
      <c r="D21" s="8" t="s">
        <v>604</v>
      </c>
      <c r="E21" s="8" t="s">
        <v>1156</v>
      </c>
      <c r="F21" s="8" t="n">
        <v>5</v>
      </c>
      <c r="G21" s="8" t="n">
        <v>6</v>
      </c>
      <c r="H21" s="8" t="s">
        <v>1160</v>
      </c>
    </row>
    <row r="22" customFormat="false" ht="28.35" hidden="false" customHeight="false" outlineLevel="0" collapsed="false">
      <c r="A22" s="8" t="n">
        <v>2</v>
      </c>
      <c r="B22" s="8" t="s">
        <v>1159</v>
      </c>
      <c r="C22" s="19" t="n">
        <v>0.8</v>
      </c>
      <c r="D22" s="8" t="s">
        <v>604</v>
      </c>
      <c r="E22" s="8" t="s">
        <v>1157</v>
      </c>
      <c r="F22" s="8" t="n">
        <v>5</v>
      </c>
      <c r="G22" s="8" t="n">
        <v>6</v>
      </c>
      <c r="H22" s="8" t="s">
        <v>1160</v>
      </c>
    </row>
    <row r="23" customFormat="false" ht="28.35" hidden="false" customHeight="false" outlineLevel="0" collapsed="false">
      <c r="A23" s="8" t="n">
        <v>2</v>
      </c>
      <c r="B23" s="8" t="s">
        <v>1159</v>
      </c>
      <c r="C23" s="19" t="n">
        <v>0.8</v>
      </c>
      <c r="D23" s="8" t="s">
        <v>604</v>
      </c>
      <c r="E23" s="8" t="s">
        <v>1158</v>
      </c>
      <c r="F23" s="8" t="n">
        <v>5</v>
      </c>
      <c r="G23" s="8" t="n">
        <v>6</v>
      </c>
      <c r="H23" s="8" t="s">
        <v>1160</v>
      </c>
    </row>
    <row r="24" customFormat="false" ht="28.35" hidden="false" customHeight="false" outlineLevel="0" collapsed="false">
      <c r="A24" s="8" t="n">
        <v>3</v>
      </c>
      <c r="B24" s="8" t="s">
        <v>1087</v>
      </c>
      <c r="C24" s="19" t="n">
        <v>0.5</v>
      </c>
      <c r="D24" s="8" t="s">
        <v>604</v>
      </c>
      <c r="E24" s="8" t="s">
        <v>1148</v>
      </c>
      <c r="F24" s="8" t="n">
        <v>7</v>
      </c>
      <c r="G24" s="8" t="n">
        <v>8</v>
      </c>
      <c r="H24" s="8" t="s">
        <v>1161</v>
      </c>
    </row>
    <row r="25" customFormat="false" ht="28.35" hidden="false" customHeight="false" outlineLevel="0" collapsed="false">
      <c r="A25" s="8" t="n">
        <v>3</v>
      </c>
      <c r="B25" s="8" t="s">
        <v>1087</v>
      </c>
      <c r="C25" s="19" t="n">
        <v>0.5</v>
      </c>
      <c r="D25" s="8" t="s">
        <v>604</v>
      </c>
      <c r="E25" s="8" t="s">
        <v>238</v>
      </c>
      <c r="F25" s="8" t="n">
        <v>7</v>
      </c>
      <c r="G25" s="8" t="n">
        <v>8</v>
      </c>
      <c r="H25" s="8" t="s">
        <v>1161</v>
      </c>
    </row>
    <row r="26" customFormat="false" ht="28.35" hidden="false" customHeight="false" outlineLevel="0" collapsed="false">
      <c r="A26" s="8" t="n">
        <v>3</v>
      </c>
      <c r="B26" s="8" t="s">
        <v>1087</v>
      </c>
      <c r="C26" s="19" t="n">
        <v>0.5</v>
      </c>
      <c r="D26" s="8" t="s">
        <v>604</v>
      </c>
      <c r="E26" s="8" t="s">
        <v>1150</v>
      </c>
      <c r="F26" s="8" t="n">
        <v>7</v>
      </c>
      <c r="G26" s="8" t="n">
        <v>8</v>
      </c>
      <c r="H26" s="8" t="s">
        <v>1161</v>
      </c>
    </row>
    <row r="27" customFormat="false" ht="28.35" hidden="false" customHeight="false" outlineLevel="0" collapsed="false">
      <c r="A27" s="8" t="n">
        <v>3</v>
      </c>
      <c r="B27" s="8" t="s">
        <v>1087</v>
      </c>
      <c r="C27" s="19" t="n">
        <v>0.5</v>
      </c>
      <c r="D27" s="8" t="s">
        <v>604</v>
      </c>
      <c r="E27" s="8" t="s">
        <v>1151</v>
      </c>
      <c r="F27" s="8" t="n">
        <v>7</v>
      </c>
      <c r="G27" s="8" t="n">
        <v>8</v>
      </c>
      <c r="H27" s="8" t="s">
        <v>1161</v>
      </c>
    </row>
    <row r="28" customFormat="false" ht="28.35" hidden="false" customHeight="false" outlineLevel="0" collapsed="false">
      <c r="A28" s="8" t="n">
        <v>3</v>
      </c>
      <c r="B28" s="8" t="s">
        <v>1087</v>
      </c>
      <c r="C28" s="19" t="n">
        <v>0.5</v>
      </c>
      <c r="D28" s="8" t="s">
        <v>604</v>
      </c>
      <c r="E28" s="8" t="s">
        <v>1152</v>
      </c>
      <c r="F28" s="8" t="n">
        <v>7</v>
      </c>
      <c r="G28" s="8" t="n">
        <v>8</v>
      </c>
      <c r="H28" s="8" t="s">
        <v>1161</v>
      </c>
    </row>
    <row r="29" customFormat="false" ht="28.35" hidden="false" customHeight="false" outlineLevel="0" collapsed="false">
      <c r="A29" s="8" t="n">
        <v>3</v>
      </c>
      <c r="B29" s="8" t="s">
        <v>1087</v>
      </c>
      <c r="C29" s="19" t="n">
        <v>0.5</v>
      </c>
      <c r="D29" s="8" t="s">
        <v>604</v>
      </c>
      <c r="E29" s="8" t="s">
        <v>1153</v>
      </c>
      <c r="F29" s="8" t="n">
        <v>7</v>
      </c>
      <c r="G29" s="8" t="n">
        <v>8</v>
      </c>
      <c r="H29" s="8" t="s">
        <v>1161</v>
      </c>
    </row>
    <row r="30" customFormat="false" ht="28.35" hidden="false" customHeight="false" outlineLevel="0" collapsed="false">
      <c r="A30" s="8" t="n">
        <v>3</v>
      </c>
      <c r="B30" s="8" t="s">
        <v>1087</v>
      </c>
      <c r="C30" s="19" t="n">
        <v>0.5</v>
      </c>
      <c r="D30" s="8" t="s">
        <v>604</v>
      </c>
      <c r="E30" s="8" t="s">
        <v>1154</v>
      </c>
      <c r="F30" s="8" t="n">
        <v>7</v>
      </c>
      <c r="G30" s="8" t="n">
        <v>8</v>
      </c>
      <c r="H30" s="8" t="s">
        <v>1161</v>
      </c>
    </row>
    <row r="31" customFormat="false" ht="28.35" hidden="false" customHeight="false" outlineLevel="0" collapsed="false">
      <c r="A31" s="8" t="n">
        <v>3</v>
      </c>
      <c r="B31" s="8" t="s">
        <v>1087</v>
      </c>
      <c r="C31" s="19" t="n">
        <v>0.5</v>
      </c>
      <c r="D31" s="8" t="s">
        <v>604</v>
      </c>
      <c r="E31" s="8" t="s">
        <v>1155</v>
      </c>
      <c r="F31" s="8" t="n">
        <v>7</v>
      </c>
      <c r="G31" s="8" t="n">
        <v>8</v>
      </c>
      <c r="H31" s="8" t="s">
        <v>1161</v>
      </c>
    </row>
    <row r="32" customFormat="false" ht="28.35" hidden="false" customHeight="false" outlineLevel="0" collapsed="false">
      <c r="A32" s="8" t="n">
        <v>3</v>
      </c>
      <c r="B32" s="8" t="s">
        <v>1087</v>
      </c>
      <c r="C32" s="19" t="n">
        <v>0.5</v>
      </c>
      <c r="D32" s="8" t="s">
        <v>604</v>
      </c>
      <c r="E32" s="8" t="s">
        <v>1156</v>
      </c>
      <c r="F32" s="8" t="n">
        <v>7</v>
      </c>
      <c r="G32" s="8" t="n">
        <v>8</v>
      </c>
      <c r="H32" s="8" t="s">
        <v>1161</v>
      </c>
    </row>
    <row r="33" customFormat="false" ht="28.35" hidden="false" customHeight="false" outlineLevel="0" collapsed="false">
      <c r="A33" s="8" t="n">
        <v>3</v>
      </c>
      <c r="B33" s="8" t="s">
        <v>1087</v>
      </c>
      <c r="C33" s="19" t="n">
        <v>0.5</v>
      </c>
      <c r="D33" s="8" t="s">
        <v>604</v>
      </c>
      <c r="E33" s="8" t="s">
        <v>1157</v>
      </c>
      <c r="F33" s="8" t="n">
        <v>7</v>
      </c>
      <c r="G33" s="8" t="n">
        <v>8</v>
      </c>
      <c r="H33" s="8" t="s">
        <v>1161</v>
      </c>
    </row>
    <row r="34" customFormat="false" ht="28.35" hidden="false" customHeight="false" outlineLevel="0" collapsed="false">
      <c r="A34" s="8" t="n">
        <v>3</v>
      </c>
      <c r="B34" s="8" t="s">
        <v>1087</v>
      </c>
      <c r="C34" s="19" t="n">
        <v>0.5</v>
      </c>
      <c r="D34" s="8" t="s">
        <v>604</v>
      </c>
      <c r="E34" s="8" t="s">
        <v>1158</v>
      </c>
      <c r="F34" s="8" t="n">
        <v>7</v>
      </c>
      <c r="G34" s="8" t="n">
        <v>8</v>
      </c>
      <c r="H34" s="8" t="s">
        <v>1161</v>
      </c>
    </row>
  </sheetData>
  <autoFilter ref="A1:H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12"/>
    <col collapsed="false" customWidth="true" hidden="false" outlineLevel="0" max="5" min="5" style="0" width="22"/>
  </cols>
  <sheetData>
    <row r="1" customFormat="false" ht="26.85" hidden="false" customHeight="false" outlineLevel="0" collapsed="false">
      <c r="A1" s="14" t="s">
        <v>1162</v>
      </c>
      <c r="B1" s="14" t="s">
        <v>656</v>
      </c>
      <c r="C1" s="14" t="s">
        <v>1163</v>
      </c>
      <c r="D1" s="14" t="s">
        <v>1164</v>
      </c>
      <c r="E1" s="14" t="s">
        <v>1165</v>
      </c>
    </row>
    <row r="2" customFormat="false" ht="15" hidden="false" customHeight="false" outlineLevel="0" collapsed="false">
      <c r="A2" s="8" t="n">
        <v>1</v>
      </c>
      <c r="B2" s="8" t="s">
        <v>1166</v>
      </c>
      <c r="C2" s="20" t="n">
        <v>46321</v>
      </c>
      <c r="D2" s="20" t="n">
        <v>46326</v>
      </c>
      <c r="E2" s="8" t="s">
        <v>1076</v>
      </c>
    </row>
    <row r="3" customFormat="false" ht="15" hidden="false" customHeight="false" outlineLevel="0" collapsed="false">
      <c r="A3" s="8" t="n">
        <v>2</v>
      </c>
      <c r="B3" s="8" t="s">
        <v>1167</v>
      </c>
      <c r="C3" s="20" t="n">
        <v>46328</v>
      </c>
      <c r="D3" s="20" t="n">
        <v>46333</v>
      </c>
      <c r="E3" s="8" t="s">
        <v>1076</v>
      </c>
    </row>
    <row r="4" customFormat="false" ht="15" hidden="false" customHeight="false" outlineLevel="0" collapsed="false">
      <c r="A4" s="8" t="n">
        <v>3</v>
      </c>
      <c r="B4" s="8" t="s">
        <v>1168</v>
      </c>
      <c r="C4" s="20" t="n">
        <v>46335</v>
      </c>
      <c r="D4" s="20" t="n">
        <v>46340</v>
      </c>
      <c r="E4" s="8" t="s">
        <v>1076</v>
      </c>
    </row>
    <row r="5" customFormat="false" ht="15" hidden="false" customHeight="false" outlineLevel="0" collapsed="false">
      <c r="A5" s="8" t="n">
        <v>4</v>
      </c>
      <c r="B5" s="8" t="s">
        <v>1169</v>
      </c>
      <c r="C5" s="20" t="n">
        <v>46342</v>
      </c>
      <c r="D5" s="20" t="n">
        <v>46347</v>
      </c>
      <c r="E5" s="8" t="s">
        <v>1076</v>
      </c>
    </row>
    <row r="6" customFormat="false" ht="15" hidden="false" customHeight="false" outlineLevel="0" collapsed="false">
      <c r="A6" s="8" t="n">
        <v>5</v>
      </c>
      <c r="B6" s="8" t="s">
        <v>1170</v>
      </c>
      <c r="C6" s="20" t="n">
        <v>46349</v>
      </c>
      <c r="D6" s="20" t="n">
        <v>46354</v>
      </c>
      <c r="E6" s="8" t="s">
        <v>1076</v>
      </c>
    </row>
    <row r="7" customFormat="false" ht="15" hidden="false" customHeight="false" outlineLevel="0" collapsed="false">
      <c r="A7" s="8" t="n">
        <v>6</v>
      </c>
      <c r="B7" s="8" t="s">
        <v>1171</v>
      </c>
      <c r="C7" s="20" t="n">
        <v>46357</v>
      </c>
      <c r="D7" s="20" t="n">
        <v>46361</v>
      </c>
      <c r="E7" s="8" t="s">
        <v>1076</v>
      </c>
    </row>
    <row r="8" customFormat="false" ht="15" hidden="false" customHeight="false" outlineLevel="0" collapsed="false">
      <c r="A8" s="8" t="n">
        <v>7</v>
      </c>
      <c r="B8" s="8" t="s">
        <v>1172</v>
      </c>
      <c r="C8" s="20" t="n">
        <v>46363</v>
      </c>
      <c r="D8" s="20" t="n">
        <v>46368</v>
      </c>
      <c r="E8" s="8" t="s">
        <v>1076</v>
      </c>
    </row>
    <row r="9" customFormat="false" ht="15" hidden="false" customHeight="false" outlineLevel="0" collapsed="false">
      <c r="A9" s="8" t="n">
        <v>8</v>
      </c>
      <c r="B9" s="8" t="s">
        <v>1173</v>
      </c>
      <c r="C9" s="20" t="n">
        <v>46370</v>
      </c>
      <c r="D9" s="20" t="n">
        <v>46375</v>
      </c>
      <c r="E9" s="8" t="s">
        <v>1174</v>
      </c>
    </row>
    <row r="10" customFormat="false" ht="15" hidden="false" customHeight="false" outlineLevel="0" collapsed="false">
      <c r="A10" s="8" t="n">
        <v>9</v>
      </c>
      <c r="B10" s="8" t="s">
        <v>1175</v>
      </c>
      <c r="C10" s="20" t="n">
        <v>46377</v>
      </c>
      <c r="D10" s="20" t="n">
        <v>46387</v>
      </c>
      <c r="E10" s="8" t="s">
        <v>1174</v>
      </c>
    </row>
  </sheetData>
  <autoFilter ref="A1:E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9"/>
    <col collapsed="false" customWidth="true" hidden="false" outlineLevel="0" max="2" min="2" style="1" width="15"/>
    <col collapsed="false" customWidth="true" hidden="false" outlineLevel="0" max="3" min="3" style="1" width="30"/>
    <col collapsed="false" customWidth="true" hidden="false" outlineLevel="0" max="4" min="4" style="1" width="8"/>
    <col collapsed="false" customWidth="true" hidden="false" outlineLevel="0" max="5" min="5" style="1" width="60"/>
  </cols>
  <sheetData>
    <row r="1" customFormat="false" ht="26.25" hidden="false" customHeight="true" outlineLevel="0" collapsed="false">
      <c r="A1" s="14" t="s">
        <v>1176</v>
      </c>
      <c r="B1" s="14" t="s">
        <v>1177</v>
      </c>
      <c r="C1" s="14" t="s">
        <v>1178</v>
      </c>
      <c r="D1" s="14" t="s">
        <v>1101</v>
      </c>
      <c r="E1" s="14" t="s">
        <v>1179</v>
      </c>
    </row>
    <row r="2" customFormat="false" ht="15" hidden="false" customHeight="true" outlineLevel="0" collapsed="false">
      <c r="A2" s="15" t="n">
        <v>10</v>
      </c>
      <c r="B2" s="15" t="s">
        <v>1180</v>
      </c>
      <c r="C2" s="15" t="s">
        <v>56</v>
      </c>
      <c r="D2" s="15" t="s">
        <v>583</v>
      </c>
      <c r="E2" s="15" t="s">
        <v>1181</v>
      </c>
    </row>
    <row r="3" customFormat="false" ht="15" hidden="false" customHeight="true" outlineLevel="0" collapsed="false">
      <c r="A3" s="15" t="n">
        <v>11</v>
      </c>
      <c r="B3" s="15" t="s">
        <v>1180</v>
      </c>
      <c r="C3" s="15" t="s">
        <v>72</v>
      </c>
      <c r="D3" s="15" t="s">
        <v>582</v>
      </c>
      <c r="E3" s="15" t="s">
        <v>1182</v>
      </c>
    </row>
    <row r="4" customFormat="false" ht="15" hidden="false" customHeight="true" outlineLevel="0" collapsed="false">
      <c r="A4" s="15" t="n">
        <v>12</v>
      </c>
      <c r="B4" s="15" t="s">
        <v>1180</v>
      </c>
      <c r="C4" s="15" t="s">
        <v>426</v>
      </c>
      <c r="D4" s="15" t="s">
        <v>584</v>
      </c>
      <c r="E4" s="15" t="s">
        <v>1183</v>
      </c>
    </row>
    <row r="5" customFormat="false" ht="15" hidden="false" customHeight="true" outlineLevel="0" collapsed="false">
      <c r="A5" s="15" t="n">
        <v>13</v>
      </c>
      <c r="B5" s="15" t="s">
        <v>1180</v>
      </c>
      <c r="C5" s="15" t="s">
        <v>459</v>
      </c>
      <c r="D5" s="15" t="s">
        <v>585</v>
      </c>
      <c r="E5" s="15" t="s">
        <v>1184</v>
      </c>
    </row>
    <row r="6" customFormat="false" ht="15" hidden="false" customHeight="true" outlineLevel="0" collapsed="false">
      <c r="A6" s="15" t="n">
        <v>14</v>
      </c>
      <c r="B6" s="15" t="s">
        <v>1180</v>
      </c>
      <c r="C6" s="15" t="s">
        <v>488</v>
      </c>
      <c r="D6" s="15" t="s">
        <v>586</v>
      </c>
      <c r="E6" s="15" t="s">
        <v>1185</v>
      </c>
    </row>
    <row r="7" customFormat="false" ht="15" hidden="false" customHeight="true" outlineLevel="0" collapsed="false">
      <c r="A7" s="15" t="n">
        <v>20</v>
      </c>
      <c r="B7" s="15" t="s">
        <v>1099</v>
      </c>
      <c r="C7" s="15" t="s">
        <v>1186</v>
      </c>
      <c r="D7" s="15" t="s">
        <v>582</v>
      </c>
      <c r="E7" s="15" t="s">
        <v>1187</v>
      </c>
    </row>
    <row r="8" customFormat="false" ht="15" hidden="false" customHeight="true" outlineLevel="0" collapsed="false">
      <c r="A8" s="15" t="n">
        <v>21</v>
      </c>
      <c r="B8" s="15" t="s">
        <v>1099</v>
      </c>
      <c r="C8" s="15" t="s">
        <v>1188</v>
      </c>
      <c r="D8" s="15" t="s">
        <v>583</v>
      </c>
      <c r="E8" s="15" t="s">
        <v>1189</v>
      </c>
    </row>
    <row r="9" customFormat="false" ht="15" hidden="false" customHeight="true" outlineLevel="0" collapsed="false">
      <c r="A9" s="15" t="n">
        <v>22</v>
      </c>
      <c r="B9" s="15" t="s">
        <v>1099</v>
      </c>
      <c r="C9" s="15" t="s">
        <v>738</v>
      </c>
      <c r="D9" s="15" t="s">
        <v>580</v>
      </c>
      <c r="E9" s="15" t="s">
        <v>1190</v>
      </c>
    </row>
    <row r="10" customFormat="false" ht="15" hidden="false" customHeight="true" outlineLevel="0" collapsed="false">
      <c r="A10" s="15" t="n">
        <v>30</v>
      </c>
      <c r="B10" s="15" t="s">
        <v>1191</v>
      </c>
      <c r="C10" s="15" t="s">
        <v>1192</v>
      </c>
      <c r="D10" s="15" t="s">
        <v>579</v>
      </c>
      <c r="E10" s="15" t="s">
        <v>1193</v>
      </c>
    </row>
    <row r="11" customFormat="false" ht="15" hidden="false" customHeight="true" outlineLevel="0" collapsed="false">
      <c r="A11" s="15" t="n">
        <v>31</v>
      </c>
      <c r="B11" s="15" t="s">
        <v>1191</v>
      </c>
      <c r="C11" s="15" t="s">
        <v>1194</v>
      </c>
      <c r="D11" s="15" t="s">
        <v>577</v>
      </c>
      <c r="E11" s="15" t="s">
        <v>1195</v>
      </c>
    </row>
    <row r="12" customFormat="false" ht="15" hidden="false" customHeight="true" outlineLevel="0" collapsed="false">
      <c r="A12" s="15" t="n">
        <v>40</v>
      </c>
      <c r="B12" s="15" t="s">
        <v>1196</v>
      </c>
      <c r="C12" s="15" t="s">
        <v>1197</v>
      </c>
      <c r="D12" s="15" t="s">
        <v>577</v>
      </c>
      <c r="E12" s="15" t="s">
        <v>1198</v>
      </c>
    </row>
    <row r="13" customFormat="false" ht="15" hidden="false" customHeight="true" outlineLevel="0" collapsed="false">
      <c r="A13" s="15" t="n">
        <v>41</v>
      </c>
      <c r="B13" s="15" t="s">
        <v>1196</v>
      </c>
      <c r="C13" s="15" t="s">
        <v>1199</v>
      </c>
      <c r="D13" s="15" t="s">
        <v>579</v>
      </c>
      <c r="E13" s="15" t="s">
        <v>1200</v>
      </c>
    </row>
    <row r="14" customFormat="false" ht="15" hidden="false" customHeight="true" outlineLevel="0" collapsed="false">
      <c r="A14" s="15" t="n">
        <v>42</v>
      </c>
      <c r="B14" s="15" t="s">
        <v>1196</v>
      </c>
      <c r="C14" s="15" t="s">
        <v>1201</v>
      </c>
      <c r="D14" s="15" t="s">
        <v>578</v>
      </c>
      <c r="E14" s="15" t="s">
        <v>1202</v>
      </c>
    </row>
    <row r="15" customFormat="false" ht="15" hidden="false" customHeight="true" outlineLevel="0" collapsed="false">
      <c r="A15" s="15" t="n">
        <v>43</v>
      </c>
      <c r="B15" s="15" t="s">
        <v>1196</v>
      </c>
      <c r="C15" s="15" t="s">
        <v>1203</v>
      </c>
      <c r="D15" s="15" t="s">
        <v>578</v>
      </c>
      <c r="E15" s="15" t="s">
        <v>1204</v>
      </c>
    </row>
    <row r="16" customFormat="false" ht="15" hidden="false" customHeight="true" outlineLevel="0" collapsed="false">
      <c r="A16" s="15" t="n">
        <v>44</v>
      </c>
      <c r="B16" s="15" t="s">
        <v>1196</v>
      </c>
      <c r="C16" s="15" t="s">
        <v>1205</v>
      </c>
      <c r="D16" s="15" t="s">
        <v>581</v>
      </c>
      <c r="E16" s="15" t="s">
        <v>1206</v>
      </c>
    </row>
    <row r="17" customFormat="false" ht="15" hidden="false" customHeight="true" outlineLevel="0" collapsed="false">
      <c r="A17" s="15" t="n">
        <v>45</v>
      </c>
      <c r="B17" s="15" t="s">
        <v>1196</v>
      </c>
      <c r="C17" s="15" t="s">
        <v>1207</v>
      </c>
      <c r="D17" s="15" t="s">
        <v>576</v>
      </c>
      <c r="E17" s="15" t="s">
        <v>1208</v>
      </c>
    </row>
    <row r="18" customFormat="false" ht="15" hidden="false" customHeight="true" outlineLevel="0" collapsed="false">
      <c r="A18" s="15" t="n">
        <v>46</v>
      </c>
      <c r="B18" s="15" t="s">
        <v>1196</v>
      </c>
      <c r="C18" s="15" t="s">
        <v>1209</v>
      </c>
      <c r="D18" s="15" t="s">
        <v>576</v>
      </c>
      <c r="E18" s="15" t="s">
        <v>1210</v>
      </c>
    </row>
    <row r="19" customFormat="false" ht="15" hidden="false" customHeight="true" outlineLevel="0" collapsed="false">
      <c r="A19" s="15" t="n">
        <v>47</v>
      </c>
      <c r="B19" s="15" t="s">
        <v>1196</v>
      </c>
      <c r="C19" s="15" t="s">
        <v>1211</v>
      </c>
      <c r="D19" s="15" t="s">
        <v>576</v>
      </c>
      <c r="E19" s="15" t="s">
        <v>1078</v>
      </c>
    </row>
    <row r="20" customFormat="false" ht="15" hidden="false" customHeight="true" outlineLevel="0" collapsed="false">
      <c r="A20" s="15" t="n">
        <v>48</v>
      </c>
      <c r="B20" s="15" t="s">
        <v>1196</v>
      </c>
      <c r="C20" s="15" t="s">
        <v>1212</v>
      </c>
      <c r="D20" s="15" t="s">
        <v>576</v>
      </c>
      <c r="E20" s="15" t="s">
        <v>1213</v>
      </c>
    </row>
    <row r="21" customFormat="false" ht="15" hidden="false" customHeight="true" outlineLevel="0" collapsed="false">
      <c r="A21" s="15" t="n">
        <v>49</v>
      </c>
      <c r="B21" s="15" t="s">
        <v>1196</v>
      </c>
      <c r="C21" s="15" t="s">
        <v>1214</v>
      </c>
      <c r="D21" s="15" t="s">
        <v>576</v>
      </c>
      <c r="E21" s="15" t="s">
        <v>1215</v>
      </c>
    </row>
    <row r="22" customFormat="false" ht="15" hidden="false" customHeight="true" outlineLevel="0" collapsed="false">
      <c r="A22" s="15" t="n">
        <v>50</v>
      </c>
      <c r="B22" s="15" t="s">
        <v>1196</v>
      </c>
      <c r="C22" s="15" t="s">
        <v>1216</v>
      </c>
      <c r="D22" s="15" t="s">
        <v>576</v>
      </c>
      <c r="E22" s="15" t="s">
        <v>1217</v>
      </c>
    </row>
    <row r="23" customFormat="false" ht="15" hidden="false" customHeight="true" outlineLevel="0" collapsed="false">
      <c r="A23" s="15" t="n">
        <v>51</v>
      </c>
      <c r="B23" s="15" t="s">
        <v>1196</v>
      </c>
      <c r="C23" s="15" t="s">
        <v>1218</v>
      </c>
      <c r="D23" s="15" t="s">
        <v>576</v>
      </c>
      <c r="E23" s="15" t="s">
        <v>1219</v>
      </c>
    </row>
    <row r="24" customFormat="false" ht="15" hidden="false" customHeight="true" outlineLevel="0" collapsed="false">
      <c r="A24" s="15" t="n">
        <v>60</v>
      </c>
      <c r="B24" s="15" t="s">
        <v>1180</v>
      </c>
      <c r="C24" s="15" t="s">
        <v>290</v>
      </c>
      <c r="D24" s="15" t="s">
        <v>581</v>
      </c>
      <c r="E24" s="15" t="s">
        <v>1220</v>
      </c>
    </row>
    <row r="25" customFormat="false" ht="15" hidden="false" customHeight="true" outlineLevel="0" collapsed="false">
      <c r="A25" s="15" t="n">
        <v>61</v>
      </c>
      <c r="B25" s="15" t="s">
        <v>1099</v>
      </c>
      <c r="C25" s="15" t="s">
        <v>750</v>
      </c>
      <c r="D25" s="15" t="s">
        <v>577</v>
      </c>
      <c r="E25" s="15" t="s">
        <v>1221</v>
      </c>
    </row>
    <row r="26" customFormat="false" ht="15" hidden="false" customHeight="true" outlineLevel="0" collapsed="false">
      <c r="A26" s="15" t="n">
        <v>99</v>
      </c>
      <c r="B26" s="15" t="s">
        <v>1222</v>
      </c>
      <c r="C26" s="15"/>
      <c r="D26" s="15" t="s">
        <v>576</v>
      </c>
      <c r="E26" s="15" t="s">
        <v>1223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30"/>
    <col collapsed="false" customWidth="true" hidden="false" outlineLevel="0" max="2" min="2" style="1" width="10"/>
  </cols>
  <sheetData>
    <row r="1" customFormat="false" ht="15" hidden="false" customHeight="true" outlineLevel="0" collapsed="false">
      <c r="A1" s="14" t="s">
        <v>1224</v>
      </c>
      <c r="B1" s="14" t="s">
        <v>1225</v>
      </c>
    </row>
    <row r="2" customFormat="false" ht="15" hidden="false" customHeight="true" outlineLevel="0" collapsed="false">
      <c r="A2" s="15" t="s">
        <v>1226</v>
      </c>
      <c r="B2" s="15" t="n">
        <v>3744</v>
      </c>
    </row>
    <row r="3" customFormat="false" ht="15" hidden="false" customHeight="true" outlineLevel="0" collapsed="false">
      <c r="A3" s="15" t="s">
        <v>1227</v>
      </c>
      <c r="B3" s="15" t="n">
        <v>1652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8"/>
    <col collapsed="false" customWidth="true" hidden="false" outlineLevel="0" max="2" min="2" style="1" width="58"/>
    <col collapsed="false" customWidth="true" hidden="false" outlineLevel="0" max="11" min="3" style="1" width="9"/>
    <col collapsed="false" customWidth="true" hidden="false" outlineLevel="0" max="12" min="12" style="1" width="40"/>
  </cols>
  <sheetData>
    <row r="1" customFormat="false" ht="15" hidden="false" customHeight="true" outlineLevel="0" collapsed="false">
      <c r="A1" s="14" t="s">
        <v>46</v>
      </c>
      <c r="B1" s="14" t="s">
        <v>47</v>
      </c>
      <c r="C1" s="14" t="s">
        <v>661</v>
      </c>
      <c r="D1" s="14" t="s">
        <v>664</v>
      </c>
      <c r="E1" s="14" t="s">
        <v>667</v>
      </c>
      <c r="F1" s="14" t="s">
        <v>670</v>
      </c>
      <c r="G1" s="14" t="s">
        <v>673</v>
      </c>
      <c r="H1" s="14" t="s">
        <v>676</v>
      </c>
      <c r="I1" s="14" t="s">
        <v>679</v>
      </c>
      <c r="J1" s="14" t="s">
        <v>682</v>
      </c>
      <c r="K1" s="14" t="s">
        <v>685</v>
      </c>
      <c r="L1" s="14" t="s">
        <v>1228</v>
      </c>
    </row>
    <row r="2" customFormat="false" ht="15" hidden="false" customHeight="true" outlineLevel="0" collapsed="false">
      <c r="A2" s="15" t="s">
        <v>62</v>
      </c>
      <c r="B2" s="15" t="s">
        <v>63</v>
      </c>
      <c r="C2" s="21" t="n">
        <v>1</v>
      </c>
      <c r="D2" s="21" t="n">
        <v>1</v>
      </c>
      <c r="E2" s="21" t="n">
        <v>1</v>
      </c>
      <c r="F2" s="21" t="n">
        <v>1</v>
      </c>
      <c r="G2" s="21" t="n">
        <v>1</v>
      </c>
      <c r="H2" s="21" t="n">
        <v>1</v>
      </c>
      <c r="I2" s="21" t="n">
        <v>1</v>
      </c>
      <c r="J2" s="21" t="n">
        <v>1</v>
      </c>
      <c r="K2" s="22" t="n">
        <f aca="false">Plan!E4</f>
        <v>1</v>
      </c>
      <c r="L2" s="15" t="s">
        <v>1229</v>
      </c>
    </row>
    <row r="3" customFormat="false" ht="15" hidden="false" customHeight="true" outlineLevel="0" collapsed="false">
      <c r="A3" s="15" t="s">
        <v>67</v>
      </c>
      <c r="B3" s="15" t="s">
        <v>68</v>
      </c>
      <c r="C3" s="21" t="n">
        <v>1</v>
      </c>
      <c r="D3" s="21" t="n">
        <v>1</v>
      </c>
      <c r="E3" s="21" t="n">
        <v>1</v>
      </c>
      <c r="F3" s="21" t="n">
        <v>1</v>
      </c>
      <c r="G3" s="21" t="n">
        <v>1</v>
      </c>
      <c r="H3" s="21" t="n">
        <v>1</v>
      </c>
      <c r="I3" s="21" t="n">
        <v>1</v>
      </c>
      <c r="J3" s="21" t="n">
        <v>1</v>
      </c>
      <c r="K3" s="22" t="n">
        <f aca="false">Plan!E5</f>
        <v>1</v>
      </c>
      <c r="L3" s="15" t="s">
        <v>1229</v>
      </c>
    </row>
    <row r="4" customFormat="false" ht="15" hidden="false" customHeight="true" outlineLevel="0" collapsed="false">
      <c r="A4" s="15" t="s">
        <v>78</v>
      </c>
      <c r="B4" s="15" t="s">
        <v>79</v>
      </c>
      <c r="C4" s="21" t="n">
        <v>0.2</v>
      </c>
      <c r="D4" s="21" t="n">
        <v>0.5</v>
      </c>
      <c r="E4" s="21" t="n">
        <v>0.6</v>
      </c>
      <c r="F4" s="21" t="n">
        <v>0.6</v>
      </c>
      <c r="G4" s="21" t="n">
        <v>0.85</v>
      </c>
      <c r="H4" s="21" t="n">
        <v>1</v>
      </c>
      <c r="I4" s="21" t="n">
        <v>1</v>
      </c>
      <c r="J4" s="21" t="n">
        <v>1</v>
      </c>
      <c r="K4" s="22" t="n">
        <f aca="false">Plan!E8</f>
        <v>1</v>
      </c>
      <c r="L4" s="15" t="s">
        <v>1230</v>
      </c>
    </row>
    <row r="5" customFormat="false" ht="15" hidden="false" customHeight="true" outlineLevel="0" collapsed="false">
      <c r="A5" s="15" t="s">
        <v>82</v>
      </c>
      <c r="B5" s="15" t="s">
        <v>83</v>
      </c>
      <c r="C5" s="21" t="n">
        <v>0</v>
      </c>
      <c r="D5" s="21" t="n">
        <v>0</v>
      </c>
      <c r="E5" s="21" t="n">
        <v>0</v>
      </c>
      <c r="F5" s="21" t="n">
        <v>0.75</v>
      </c>
      <c r="G5" s="21" t="n">
        <v>0.75</v>
      </c>
      <c r="H5" s="21" t="n">
        <v>0.75</v>
      </c>
      <c r="I5" s="21" t="n">
        <v>0.75</v>
      </c>
      <c r="J5" s="21" t="n">
        <v>0.75</v>
      </c>
      <c r="K5" s="22" t="n">
        <f aca="false">Plan!E9</f>
        <v>0.9</v>
      </c>
      <c r="L5" s="15" t="s">
        <v>1230</v>
      </c>
    </row>
    <row r="6" customFormat="false" ht="15" hidden="false" customHeight="true" outlineLevel="0" collapsed="false">
      <c r="A6" s="15" t="s">
        <v>86</v>
      </c>
      <c r="B6" s="15" t="s">
        <v>87</v>
      </c>
      <c r="C6" s="21" t="n">
        <v>0.2</v>
      </c>
      <c r="D6" s="21" t="n">
        <v>0.2</v>
      </c>
      <c r="E6" s="21" t="n">
        <v>0.2</v>
      </c>
      <c r="F6" s="21" t="n">
        <v>0.2</v>
      </c>
      <c r="G6" s="21" t="n">
        <v>0.35</v>
      </c>
      <c r="H6" s="21" t="n">
        <v>0.5</v>
      </c>
      <c r="I6" s="21" t="n">
        <v>0.5</v>
      </c>
      <c r="J6" s="21" t="n">
        <v>0.5</v>
      </c>
      <c r="K6" s="22" t="n">
        <f aca="false">Plan!E10</f>
        <v>0.5</v>
      </c>
      <c r="L6" s="15" t="s">
        <v>1230</v>
      </c>
    </row>
    <row r="7" customFormat="false" ht="15" hidden="false" customHeight="true" outlineLevel="0" collapsed="false">
      <c r="A7" s="15" t="s">
        <v>90</v>
      </c>
      <c r="B7" s="15" t="s">
        <v>91</v>
      </c>
      <c r="C7" s="21" t="n">
        <v>0.85</v>
      </c>
      <c r="D7" s="21" t="n">
        <v>0.9</v>
      </c>
      <c r="E7" s="21" t="n">
        <v>0.9</v>
      </c>
      <c r="F7" s="21" t="n">
        <v>0.9</v>
      </c>
      <c r="G7" s="21" t="n">
        <v>0.9</v>
      </c>
      <c r="H7" s="21" t="n">
        <v>0.9</v>
      </c>
      <c r="I7" s="21" t="n">
        <v>0.9</v>
      </c>
      <c r="J7" s="21" t="n">
        <v>0.9</v>
      </c>
      <c r="K7" s="22" t="n">
        <f aca="false">Plan!E11</f>
        <v>1</v>
      </c>
      <c r="L7" s="15" t="s">
        <v>1230</v>
      </c>
    </row>
    <row r="8" customFormat="false" ht="15" hidden="false" customHeight="true" outlineLevel="0" collapsed="false">
      <c r="A8" s="15" t="s">
        <v>97</v>
      </c>
      <c r="B8" s="15" t="s">
        <v>98</v>
      </c>
      <c r="C8" s="21" t="n">
        <v>0</v>
      </c>
      <c r="D8" s="21" t="n">
        <v>0</v>
      </c>
      <c r="E8" s="21" t="n">
        <v>0</v>
      </c>
      <c r="F8" s="21" t="n">
        <v>0</v>
      </c>
      <c r="G8" s="21" t="n">
        <v>0</v>
      </c>
      <c r="H8" s="21" t="n">
        <v>0</v>
      </c>
      <c r="I8" s="21" t="n">
        <v>0</v>
      </c>
      <c r="J8" s="21" t="n">
        <v>1</v>
      </c>
      <c r="K8" s="22" t="n">
        <f aca="false">Plan!E13</f>
        <v>1</v>
      </c>
      <c r="L8" s="15" t="s">
        <v>1230</v>
      </c>
    </row>
    <row r="9" customFormat="false" ht="15" hidden="false" customHeight="true" outlineLevel="0" collapsed="false">
      <c r="A9" s="15" t="s">
        <v>101</v>
      </c>
      <c r="B9" s="15" t="s">
        <v>102</v>
      </c>
      <c r="C9" s="21" t="n">
        <v>0</v>
      </c>
      <c r="D9" s="21" t="n">
        <v>0</v>
      </c>
      <c r="E9" s="21" t="n">
        <v>0</v>
      </c>
      <c r="F9" s="21" t="n">
        <v>0.25</v>
      </c>
      <c r="G9" s="21" t="n">
        <v>0.25</v>
      </c>
      <c r="H9" s="21" t="n">
        <v>0.25</v>
      </c>
      <c r="I9" s="21" t="n">
        <v>0.75</v>
      </c>
      <c r="J9" s="21" t="n">
        <v>0.75</v>
      </c>
      <c r="K9" s="22" t="n">
        <f aca="false">Plan!E14</f>
        <v>0.75</v>
      </c>
      <c r="L9" s="15" t="s">
        <v>1229</v>
      </c>
    </row>
    <row r="10" customFormat="false" ht="15" hidden="false" customHeight="true" outlineLevel="0" collapsed="false">
      <c r="A10" s="15" t="s">
        <v>105</v>
      </c>
      <c r="B10" s="15" t="s">
        <v>106</v>
      </c>
      <c r="C10" s="21" t="n">
        <v>0</v>
      </c>
      <c r="D10" s="21" t="n">
        <v>0</v>
      </c>
      <c r="E10" s="21" t="n">
        <v>0.25</v>
      </c>
      <c r="F10" s="21" t="n">
        <v>0.25</v>
      </c>
      <c r="G10" s="21" t="n">
        <v>0.25</v>
      </c>
      <c r="H10" s="21" t="n">
        <v>0.25</v>
      </c>
      <c r="I10" s="21" t="n">
        <v>0.25</v>
      </c>
      <c r="J10" s="21" t="n">
        <v>0.25</v>
      </c>
      <c r="K10" s="22" t="n">
        <f aca="false">Plan!E15</f>
        <v>0.25</v>
      </c>
      <c r="L10" s="15" t="s">
        <v>1230</v>
      </c>
    </row>
    <row r="11" customFormat="false" ht="15" hidden="false" customHeight="true" outlineLevel="0" collapsed="false">
      <c r="A11" s="15" t="s">
        <v>115</v>
      </c>
      <c r="B11" s="15" t="s">
        <v>116</v>
      </c>
      <c r="C11" s="21" t="n">
        <v>0</v>
      </c>
      <c r="D11" s="21" t="n">
        <v>0</v>
      </c>
      <c r="E11" s="21" t="n">
        <v>1</v>
      </c>
      <c r="F11" s="21" t="n">
        <v>1</v>
      </c>
      <c r="G11" s="21" t="n">
        <v>1</v>
      </c>
      <c r="H11" s="21" t="n">
        <v>1</v>
      </c>
      <c r="I11" s="21" t="n">
        <v>1</v>
      </c>
      <c r="J11" s="21" t="n">
        <v>1</v>
      </c>
      <c r="K11" s="22" t="n">
        <f aca="false">Plan!E18</f>
        <v>1</v>
      </c>
      <c r="L11" s="15" t="s">
        <v>1230</v>
      </c>
    </row>
    <row r="12" customFormat="false" ht="15" hidden="false" customHeight="true" outlineLevel="0" collapsed="false">
      <c r="A12" s="15" t="s">
        <v>119</v>
      </c>
      <c r="B12" s="15" t="s">
        <v>120</v>
      </c>
      <c r="C12" s="21" t="n">
        <v>0</v>
      </c>
      <c r="D12" s="21" t="n">
        <v>0</v>
      </c>
      <c r="E12" s="21" t="n">
        <v>0</v>
      </c>
      <c r="F12" s="21" t="n">
        <v>0.5</v>
      </c>
      <c r="G12" s="21" t="n">
        <v>0.5</v>
      </c>
      <c r="H12" s="21" t="n">
        <v>0.5</v>
      </c>
      <c r="I12" s="21" t="n">
        <v>0.5</v>
      </c>
      <c r="J12" s="21" t="n">
        <v>0.5</v>
      </c>
      <c r="K12" s="22" t="n">
        <f aca="false">Plan!E19</f>
        <v>0.65</v>
      </c>
      <c r="L12" s="15" t="s">
        <v>1230</v>
      </c>
    </row>
    <row r="13" customFormat="false" ht="15" hidden="false" customHeight="true" outlineLevel="0" collapsed="false">
      <c r="A13" s="15" t="s">
        <v>123</v>
      </c>
      <c r="B13" s="15" t="s">
        <v>124</v>
      </c>
      <c r="C13" s="21" t="n">
        <v>0</v>
      </c>
      <c r="D13" s="21" t="n">
        <v>0</v>
      </c>
      <c r="E13" s="21" t="n">
        <v>0.65</v>
      </c>
      <c r="F13" s="21" t="n">
        <v>0.65</v>
      </c>
      <c r="G13" s="21" t="n">
        <v>0.85</v>
      </c>
      <c r="H13" s="21" t="n">
        <v>0.85</v>
      </c>
      <c r="I13" s="21" t="n">
        <v>0.85</v>
      </c>
      <c r="J13" s="21" t="n">
        <v>0.85</v>
      </c>
      <c r="K13" s="22" t="n">
        <f aca="false">Plan!E20</f>
        <v>0.9</v>
      </c>
      <c r="L13" s="15" t="s">
        <v>1230</v>
      </c>
    </row>
    <row r="14" customFormat="false" ht="15" hidden="false" customHeight="true" outlineLevel="0" collapsed="false">
      <c r="A14" s="15" t="s">
        <v>130</v>
      </c>
      <c r="B14" s="15" t="s">
        <v>131</v>
      </c>
      <c r="C14" s="21" t="n">
        <v>0</v>
      </c>
      <c r="D14" s="21" t="n">
        <v>0</v>
      </c>
      <c r="E14" s="21" t="n">
        <v>0.8</v>
      </c>
      <c r="F14" s="21" t="n">
        <v>0.8</v>
      </c>
      <c r="G14" s="21" t="n">
        <v>0.8</v>
      </c>
      <c r="H14" s="21" t="n">
        <v>0.95</v>
      </c>
      <c r="I14" s="21" t="n">
        <v>1</v>
      </c>
      <c r="J14" s="21" t="n">
        <v>1</v>
      </c>
      <c r="K14" s="22" t="n">
        <f aca="false">Plan!E22</f>
        <v>1</v>
      </c>
      <c r="L14" s="15" t="s">
        <v>1230</v>
      </c>
    </row>
    <row r="15" customFormat="false" ht="15" hidden="false" customHeight="true" outlineLevel="0" collapsed="false">
      <c r="A15" s="15" t="s">
        <v>134</v>
      </c>
      <c r="B15" s="15" t="s">
        <v>135</v>
      </c>
      <c r="C15" s="21" t="n">
        <v>0</v>
      </c>
      <c r="D15" s="21" t="n">
        <v>0.5</v>
      </c>
      <c r="E15" s="21" t="n">
        <v>0.5</v>
      </c>
      <c r="F15" s="21" t="n">
        <v>0.5</v>
      </c>
      <c r="G15" s="21" t="n">
        <v>0.5</v>
      </c>
      <c r="H15" s="21" t="n">
        <v>0.5</v>
      </c>
      <c r="I15" s="21" t="n">
        <v>0.5</v>
      </c>
      <c r="J15" s="21" t="n">
        <v>0.5</v>
      </c>
      <c r="K15" s="22" t="n">
        <f aca="false">Plan!E23</f>
        <v>0.5</v>
      </c>
      <c r="L15" s="15" t="s">
        <v>1229</v>
      </c>
    </row>
    <row r="16" customFormat="false" ht="15" hidden="false" customHeight="true" outlineLevel="0" collapsed="false">
      <c r="A16" s="15" t="s">
        <v>144</v>
      </c>
      <c r="B16" s="15" t="s">
        <v>145</v>
      </c>
      <c r="C16" s="21" t="n">
        <v>0.9</v>
      </c>
      <c r="D16" s="21" t="n">
        <v>1</v>
      </c>
      <c r="E16" s="21" t="n">
        <v>1</v>
      </c>
      <c r="F16" s="21" t="n">
        <v>1</v>
      </c>
      <c r="G16" s="21" t="n">
        <v>1</v>
      </c>
      <c r="H16" s="21" t="n">
        <v>1</v>
      </c>
      <c r="I16" s="21" t="n">
        <v>1</v>
      </c>
      <c r="J16" s="21" t="n">
        <v>1</v>
      </c>
      <c r="K16" s="22" t="n">
        <f aca="false">Plan!E26</f>
        <v>1</v>
      </c>
      <c r="L16" s="15" t="s">
        <v>1230</v>
      </c>
    </row>
    <row r="17" customFormat="false" ht="15" hidden="false" customHeight="true" outlineLevel="0" collapsed="false">
      <c r="A17" s="15" t="s">
        <v>148</v>
      </c>
      <c r="B17" s="15" t="s">
        <v>149</v>
      </c>
      <c r="C17" s="21" t="n">
        <v>0.05</v>
      </c>
      <c r="D17" s="21" t="n">
        <v>0.65</v>
      </c>
      <c r="E17" s="21" t="n">
        <v>1</v>
      </c>
      <c r="F17" s="21" t="n">
        <v>1</v>
      </c>
      <c r="G17" s="21" t="n">
        <v>1</v>
      </c>
      <c r="H17" s="21" t="n">
        <v>1</v>
      </c>
      <c r="I17" s="21" t="n">
        <v>1</v>
      </c>
      <c r="J17" s="21" t="n">
        <v>1</v>
      </c>
      <c r="K17" s="22" t="n">
        <f aca="false">Plan!E27</f>
        <v>1</v>
      </c>
      <c r="L17" s="15" t="s">
        <v>1230</v>
      </c>
    </row>
    <row r="18" customFormat="false" ht="15" hidden="false" customHeight="true" outlineLevel="0" collapsed="false">
      <c r="A18" s="15" t="s">
        <v>152</v>
      </c>
      <c r="B18" s="15" t="s">
        <v>153</v>
      </c>
      <c r="C18" s="21" t="n">
        <v>0.2</v>
      </c>
      <c r="D18" s="21" t="n">
        <v>1</v>
      </c>
      <c r="E18" s="21" t="n">
        <v>1</v>
      </c>
      <c r="F18" s="21" t="n">
        <v>1</v>
      </c>
      <c r="G18" s="21" t="n">
        <v>1</v>
      </c>
      <c r="H18" s="21" t="n">
        <v>1</v>
      </c>
      <c r="I18" s="21" t="n">
        <v>1</v>
      </c>
      <c r="J18" s="21" t="n">
        <v>1</v>
      </c>
      <c r="K18" s="22" t="n">
        <f aca="false">Plan!E28</f>
        <v>1</v>
      </c>
      <c r="L18" s="15" t="s">
        <v>1230</v>
      </c>
    </row>
    <row r="19" customFormat="false" ht="15" hidden="false" customHeight="true" outlineLevel="0" collapsed="false">
      <c r="A19" s="15" t="s">
        <v>158</v>
      </c>
      <c r="B19" s="15" t="s">
        <v>159</v>
      </c>
      <c r="C19" s="21" t="n">
        <v>0</v>
      </c>
      <c r="D19" s="21" t="n">
        <v>1</v>
      </c>
      <c r="E19" s="21" t="n">
        <v>1</v>
      </c>
      <c r="F19" s="21" t="n">
        <v>1</v>
      </c>
      <c r="G19" s="21" t="n">
        <v>1</v>
      </c>
      <c r="H19" s="21" t="n">
        <v>1</v>
      </c>
      <c r="I19" s="21" t="n">
        <v>1</v>
      </c>
      <c r="J19" s="21" t="n">
        <v>1</v>
      </c>
      <c r="K19" s="22" t="n">
        <f aca="false">Plan!E30</f>
        <v>1</v>
      </c>
      <c r="L19" s="15" t="s">
        <v>1230</v>
      </c>
    </row>
    <row r="20" customFormat="false" ht="15" hidden="false" customHeight="true" outlineLevel="0" collapsed="false">
      <c r="A20" s="15" t="s">
        <v>162</v>
      </c>
      <c r="B20" s="15" t="s">
        <v>163</v>
      </c>
      <c r="C20" s="21" t="n">
        <v>0</v>
      </c>
      <c r="D20" s="21" t="n">
        <v>0.15</v>
      </c>
      <c r="E20" s="21" t="n">
        <v>0.15</v>
      </c>
      <c r="F20" s="21" t="n">
        <v>0.15</v>
      </c>
      <c r="G20" s="21" t="n">
        <v>0.35</v>
      </c>
      <c r="H20" s="21" t="n">
        <v>0.35</v>
      </c>
      <c r="I20" s="21" t="n">
        <v>0.5</v>
      </c>
      <c r="J20" s="21" t="n">
        <v>0.75</v>
      </c>
      <c r="K20" s="22" t="n">
        <f aca="false">Plan!E31</f>
        <v>0.85</v>
      </c>
      <c r="L20" s="15" t="s">
        <v>1230</v>
      </c>
    </row>
    <row r="21" customFormat="false" ht="15" hidden="false" customHeight="true" outlineLevel="0" collapsed="false">
      <c r="A21" s="15" t="s">
        <v>166</v>
      </c>
      <c r="B21" s="15" t="s">
        <v>167</v>
      </c>
      <c r="C21" s="21" t="n">
        <v>0</v>
      </c>
      <c r="D21" s="21" t="n">
        <v>0</v>
      </c>
      <c r="E21" s="21" t="n">
        <v>0.45</v>
      </c>
      <c r="F21" s="21" t="n">
        <v>0.6</v>
      </c>
      <c r="G21" s="21" t="n">
        <v>0.75</v>
      </c>
      <c r="H21" s="21" t="n">
        <v>0.75</v>
      </c>
      <c r="I21" s="21" t="n">
        <v>0.75</v>
      </c>
      <c r="J21" s="21" t="n">
        <v>0.75</v>
      </c>
      <c r="K21" s="22" t="n">
        <f aca="false">Plan!E32</f>
        <v>0.75</v>
      </c>
      <c r="L21" s="15" t="s">
        <v>1230</v>
      </c>
    </row>
    <row r="22" customFormat="false" ht="15" hidden="false" customHeight="true" outlineLevel="0" collapsed="false">
      <c r="A22" s="15" t="s">
        <v>170</v>
      </c>
      <c r="B22" s="15" t="s">
        <v>171</v>
      </c>
      <c r="C22" s="21" t="n">
        <v>0</v>
      </c>
      <c r="D22" s="21" t="n">
        <v>0.55</v>
      </c>
      <c r="E22" s="21" t="n">
        <v>0.6</v>
      </c>
      <c r="F22" s="21" t="n">
        <v>0.65</v>
      </c>
      <c r="G22" s="21" t="n">
        <v>0.65</v>
      </c>
      <c r="H22" s="21" t="n">
        <v>0.65</v>
      </c>
      <c r="I22" s="21" t="n">
        <v>0.65</v>
      </c>
      <c r="J22" s="21" t="n">
        <v>0.9</v>
      </c>
      <c r="K22" s="22" t="n">
        <f aca="false">Plan!E33</f>
        <v>0.9</v>
      </c>
      <c r="L22" s="15" t="s">
        <v>1230</v>
      </c>
    </row>
    <row r="23" customFormat="false" ht="15" hidden="false" customHeight="true" outlineLevel="0" collapsed="false">
      <c r="A23" s="15" t="s">
        <v>174</v>
      </c>
      <c r="B23" s="15" t="s">
        <v>175</v>
      </c>
      <c r="C23" s="21" t="n">
        <v>0</v>
      </c>
      <c r="D23" s="21" t="n">
        <v>0.35</v>
      </c>
      <c r="E23" s="21" t="n">
        <v>0.35</v>
      </c>
      <c r="F23" s="21" t="n">
        <v>0.35</v>
      </c>
      <c r="G23" s="21" t="n">
        <v>0.55</v>
      </c>
      <c r="H23" s="21" t="n">
        <v>0.6</v>
      </c>
      <c r="I23" s="21" t="n">
        <v>0.6</v>
      </c>
      <c r="J23" s="21" t="n">
        <v>0.6</v>
      </c>
      <c r="K23" s="22" t="n">
        <f aca="false">Plan!E34</f>
        <v>0.6</v>
      </c>
      <c r="L23" s="15" t="s">
        <v>1230</v>
      </c>
    </row>
    <row r="24" customFormat="false" ht="15" hidden="false" customHeight="true" outlineLevel="0" collapsed="false">
      <c r="A24" s="15" t="s">
        <v>178</v>
      </c>
      <c r="B24" s="15" t="s">
        <v>179</v>
      </c>
      <c r="C24" s="21" t="n">
        <v>0</v>
      </c>
      <c r="D24" s="21" t="n">
        <v>1</v>
      </c>
      <c r="E24" s="21" t="n">
        <v>1</v>
      </c>
      <c r="F24" s="21" t="n">
        <v>1</v>
      </c>
      <c r="G24" s="21" t="n">
        <v>1</v>
      </c>
      <c r="H24" s="21" t="n">
        <v>1</v>
      </c>
      <c r="I24" s="21" t="n">
        <v>1</v>
      </c>
      <c r="J24" s="21" t="n">
        <v>1</v>
      </c>
      <c r="K24" s="22" t="n">
        <f aca="false">Plan!E35</f>
        <v>1</v>
      </c>
      <c r="L24" s="15" t="s">
        <v>1230</v>
      </c>
    </row>
    <row r="25" customFormat="false" ht="15" hidden="false" customHeight="true" outlineLevel="0" collapsed="false">
      <c r="A25" s="15" t="s">
        <v>182</v>
      </c>
      <c r="B25" s="15" t="s">
        <v>183</v>
      </c>
      <c r="C25" s="21" t="n">
        <v>0</v>
      </c>
      <c r="D25" s="21" t="n">
        <v>0</v>
      </c>
      <c r="E25" s="21" t="n">
        <v>0.65</v>
      </c>
      <c r="F25" s="21" t="n">
        <v>0.65</v>
      </c>
      <c r="G25" s="21" t="n">
        <v>0.65</v>
      </c>
      <c r="H25" s="21" t="n">
        <v>0.65</v>
      </c>
      <c r="I25" s="21" t="n">
        <v>0.8</v>
      </c>
      <c r="J25" s="21" t="n">
        <v>0.8</v>
      </c>
      <c r="K25" s="22" t="n">
        <f aca="false">Plan!E36</f>
        <v>0.8</v>
      </c>
      <c r="L25" s="15" t="s">
        <v>1230</v>
      </c>
    </row>
    <row r="26" customFormat="false" ht="15" hidden="false" customHeight="true" outlineLevel="0" collapsed="false">
      <c r="A26" s="15" t="s">
        <v>186</v>
      </c>
      <c r="B26" s="15" t="s">
        <v>187</v>
      </c>
      <c r="C26" s="21" t="n">
        <v>0</v>
      </c>
      <c r="D26" s="21" t="n">
        <v>0</v>
      </c>
      <c r="E26" s="21" t="n">
        <v>0</v>
      </c>
      <c r="F26" s="21" t="n">
        <v>0</v>
      </c>
      <c r="G26" s="21" t="n">
        <v>0</v>
      </c>
      <c r="H26" s="21" t="n">
        <v>0</v>
      </c>
      <c r="I26" s="21" t="n">
        <v>0.1</v>
      </c>
      <c r="J26" s="21" t="n">
        <v>0.5</v>
      </c>
      <c r="K26" s="22" t="n">
        <f aca="false">Plan!E37</f>
        <v>0.5</v>
      </c>
      <c r="L26" s="15" t="s">
        <v>1230</v>
      </c>
    </row>
    <row r="27" customFormat="false" ht="15" hidden="false" customHeight="true" outlineLevel="0" collapsed="false">
      <c r="A27" s="15" t="s">
        <v>194</v>
      </c>
      <c r="B27" s="15" t="s">
        <v>195</v>
      </c>
      <c r="C27" s="21" t="n">
        <v>0</v>
      </c>
      <c r="D27" s="21" t="n">
        <v>0</v>
      </c>
      <c r="E27" s="21" t="n">
        <v>0</v>
      </c>
      <c r="F27" s="21" t="n">
        <v>0</v>
      </c>
      <c r="G27" s="21" t="n">
        <v>0</v>
      </c>
      <c r="H27" s="21" t="n">
        <v>0.55</v>
      </c>
      <c r="I27" s="21" t="n">
        <v>0.6</v>
      </c>
      <c r="J27" s="21" t="n">
        <v>0.6</v>
      </c>
      <c r="K27" s="22" t="n">
        <f aca="false">Plan!E39</f>
        <v>0.6</v>
      </c>
      <c r="L27" s="15" t="s">
        <v>1230</v>
      </c>
    </row>
    <row r="28" customFormat="false" ht="15" hidden="false" customHeight="true" outlineLevel="0" collapsed="false">
      <c r="A28" s="15" t="s">
        <v>201</v>
      </c>
      <c r="B28" s="15" t="s">
        <v>202</v>
      </c>
      <c r="C28" s="21" t="n">
        <v>0</v>
      </c>
      <c r="D28" s="21" t="n">
        <v>0</v>
      </c>
      <c r="E28" s="21" t="n">
        <v>0</v>
      </c>
      <c r="F28" s="21" t="n">
        <v>0</v>
      </c>
      <c r="G28" s="21" t="n">
        <v>0</v>
      </c>
      <c r="H28" s="21" t="n">
        <v>0</v>
      </c>
      <c r="I28" s="21" t="n">
        <v>0</v>
      </c>
      <c r="J28" s="21" t="n">
        <v>0.9</v>
      </c>
      <c r="K28" s="22" t="n">
        <f aca="false">Plan!E41</f>
        <v>1</v>
      </c>
      <c r="L28" s="15" t="s">
        <v>1229</v>
      </c>
    </row>
    <row r="29" customFormat="false" ht="15" hidden="false" customHeight="true" outlineLevel="0" collapsed="false">
      <c r="A29" s="15" t="s">
        <v>205</v>
      </c>
      <c r="B29" s="15" t="s">
        <v>206</v>
      </c>
      <c r="C29" s="21" t="n">
        <v>0</v>
      </c>
      <c r="D29" s="21" t="n">
        <v>0</v>
      </c>
      <c r="E29" s="21" t="n">
        <v>0</v>
      </c>
      <c r="F29" s="21" t="n">
        <v>0</v>
      </c>
      <c r="G29" s="21" t="n">
        <v>0</v>
      </c>
      <c r="H29" s="21" t="n">
        <v>0</v>
      </c>
      <c r="I29" s="21" t="n">
        <v>0</v>
      </c>
      <c r="J29" s="21" t="n">
        <v>1</v>
      </c>
      <c r="K29" s="22" t="n">
        <f aca="false">Plan!E42</f>
        <v>1</v>
      </c>
      <c r="L29" s="15" t="s">
        <v>1229</v>
      </c>
    </row>
    <row r="30" customFormat="false" ht="15" hidden="false" customHeight="true" outlineLevel="0" collapsed="false">
      <c r="A30" s="15" t="s">
        <v>209</v>
      </c>
      <c r="B30" s="15" t="s">
        <v>210</v>
      </c>
      <c r="C30" s="21" t="n">
        <v>0</v>
      </c>
      <c r="D30" s="21" t="n">
        <v>0</v>
      </c>
      <c r="E30" s="21" t="n">
        <v>0</v>
      </c>
      <c r="F30" s="21" t="n">
        <v>0</v>
      </c>
      <c r="G30" s="21" t="n">
        <v>0</v>
      </c>
      <c r="H30" s="21" t="n">
        <v>0</v>
      </c>
      <c r="I30" s="21" t="n">
        <v>0</v>
      </c>
      <c r="J30" s="21" t="n">
        <v>0.75</v>
      </c>
      <c r="K30" s="22" t="n">
        <f aca="false">Plan!E43</f>
        <v>1</v>
      </c>
      <c r="L30" s="15" t="s">
        <v>1229</v>
      </c>
    </row>
    <row r="31" customFormat="false" ht="15" hidden="false" customHeight="true" outlineLevel="0" collapsed="false">
      <c r="A31" s="15" t="s">
        <v>213</v>
      </c>
      <c r="B31" s="15" t="s">
        <v>214</v>
      </c>
      <c r="C31" s="21" t="n">
        <v>0</v>
      </c>
      <c r="D31" s="21" t="n">
        <v>0</v>
      </c>
      <c r="E31" s="21" t="n">
        <v>0</v>
      </c>
      <c r="F31" s="21" t="n">
        <v>0</v>
      </c>
      <c r="G31" s="21" t="n">
        <v>0</v>
      </c>
      <c r="H31" s="21" t="n">
        <v>0</v>
      </c>
      <c r="I31" s="21" t="n">
        <v>0</v>
      </c>
      <c r="J31" s="21" t="n">
        <v>0.5</v>
      </c>
      <c r="K31" s="22" t="n">
        <f aca="false">Plan!E44</f>
        <v>1</v>
      </c>
      <c r="L31" s="15" t="s">
        <v>1229</v>
      </c>
    </row>
    <row r="32" customFormat="false" ht="15" hidden="false" customHeight="true" outlineLevel="0" collapsed="false">
      <c r="A32" s="15" t="s">
        <v>217</v>
      </c>
      <c r="B32" s="15" t="s">
        <v>218</v>
      </c>
      <c r="C32" s="21" t="n">
        <v>0</v>
      </c>
      <c r="D32" s="21" t="n">
        <v>0</v>
      </c>
      <c r="E32" s="21" t="n">
        <v>0</v>
      </c>
      <c r="F32" s="21" t="n">
        <v>0</v>
      </c>
      <c r="G32" s="21" t="n">
        <v>0</v>
      </c>
      <c r="H32" s="21" t="n">
        <v>0</v>
      </c>
      <c r="I32" s="21" t="n">
        <v>0</v>
      </c>
      <c r="J32" s="21" t="n">
        <v>0.6</v>
      </c>
      <c r="K32" s="22" t="n">
        <f aca="false">Plan!E45</f>
        <v>0.9</v>
      </c>
      <c r="L32" s="15" t="s">
        <v>1229</v>
      </c>
    </row>
    <row r="33" customFormat="false" ht="15" hidden="false" customHeight="true" outlineLevel="0" collapsed="false">
      <c r="A33" s="15" t="s">
        <v>221</v>
      </c>
      <c r="B33" s="15" t="s">
        <v>222</v>
      </c>
      <c r="C33" s="21" t="n">
        <v>0</v>
      </c>
      <c r="D33" s="21" t="n">
        <v>0</v>
      </c>
      <c r="E33" s="21" t="n">
        <v>0</v>
      </c>
      <c r="F33" s="21" t="n">
        <v>0</v>
      </c>
      <c r="G33" s="21" t="n">
        <v>0</v>
      </c>
      <c r="H33" s="21" t="n">
        <v>0</v>
      </c>
      <c r="I33" s="21" t="n">
        <v>0</v>
      </c>
      <c r="J33" s="21" t="n">
        <v>0.9</v>
      </c>
      <c r="K33" s="22" t="n">
        <f aca="false">Plan!E46</f>
        <v>0.9</v>
      </c>
      <c r="L33" s="15" t="s">
        <v>1229</v>
      </c>
    </row>
    <row r="34" customFormat="false" ht="15" hidden="false" customHeight="true" outlineLevel="0" collapsed="false">
      <c r="A34" s="15" t="s">
        <v>225</v>
      </c>
      <c r="B34" s="15" t="s">
        <v>226</v>
      </c>
      <c r="C34" s="21" t="n">
        <v>0</v>
      </c>
      <c r="D34" s="21" t="n">
        <v>0</v>
      </c>
      <c r="E34" s="21" t="n">
        <v>0</v>
      </c>
      <c r="F34" s="21" t="n">
        <v>0</v>
      </c>
      <c r="G34" s="21" t="n">
        <v>0</v>
      </c>
      <c r="H34" s="21" t="n">
        <v>0</v>
      </c>
      <c r="I34" s="21" t="n">
        <v>0</v>
      </c>
      <c r="J34" s="21" t="n">
        <v>0</v>
      </c>
      <c r="K34" s="22" t="n">
        <f aca="false">Plan!E47</f>
        <v>1</v>
      </c>
      <c r="L34" s="15" t="s">
        <v>1231</v>
      </c>
    </row>
    <row r="35" customFormat="false" ht="15" hidden="false" customHeight="true" outlineLevel="0" collapsed="false">
      <c r="A35" s="15" t="s">
        <v>229</v>
      </c>
      <c r="B35" s="15" t="s">
        <v>230</v>
      </c>
      <c r="C35" s="21" t="n">
        <v>0</v>
      </c>
      <c r="D35" s="21" t="n">
        <v>0</v>
      </c>
      <c r="E35" s="21" t="n">
        <v>0</v>
      </c>
      <c r="F35" s="21" t="n">
        <v>0</v>
      </c>
      <c r="G35" s="21" t="n">
        <v>0</v>
      </c>
      <c r="H35" s="21" t="n">
        <v>0</v>
      </c>
      <c r="I35" s="21" t="n">
        <v>0</v>
      </c>
      <c r="J35" s="21" t="n">
        <v>0.5</v>
      </c>
      <c r="K35" s="22" t="n">
        <f aca="false">Plan!E48</f>
        <v>0.7</v>
      </c>
      <c r="L35" s="15" t="s">
        <v>1229</v>
      </c>
    </row>
    <row r="36" customFormat="false" ht="15" hidden="false" customHeight="true" outlineLevel="0" collapsed="false">
      <c r="A36" s="15" t="s">
        <v>236</v>
      </c>
      <c r="B36" s="15" t="s">
        <v>237</v>
      </c>
      <c r="C36" s="21" t="n">
        <v>0</v>
      </c>
      <c r="D36" s="21" t="n">
        <v>0</v>
      </c>
      <c r="E36" s="21" t="n">
        <v>0</v>
      </c>
      <c r="F36" s="21" t="n">
        <v>0</v>
      </c>
      <c r="G36" s="21" t="n">
        <v>0</v>
      </c>
      <c r="H36" s="21" t="n">
        <v>0</v>
      </c>
      <c r="I36" s="21" t="n">
        <v>0</v>
      </c>
      <c r="J36" s="21" t="n">
        <v>0</v>
      </c>
      <c r="K36" s="22" t="n">
        <f aca="false">Plan!E50</f>
        <v>1</v>
      </c>
      <c r="L36" s="15" t="s">
        <v>1231</v>
      </c>
    </row>
    <row r="37" customFormat="false" ht="15" hidden="false" customHeight="true" outlineLevel="0" collapsed="false">
      <c r="A37" s="15" t="s">
        <v>240</v>
      </c>
      <c r="B37" s="15" t="s">
        <v>241</v>
      </c>
      <c r="C37" s="21" t="n">
        <v>0</v>
      </c>
      <c r="D37" s="21" t="n">
        <v>0</v>
      </c>
      <c r="E37" s="21" t="n">
        <v>0</v>
      </c>
      <c r="F37" s="21" t="n">
        <v>0</v>
      </c>
      <c r="G37" s="21" t="n">
        <v>0</v>
      </c>
      <c r="H37" s="21" t="n">
        <v>0</v>
      </c>
      <c r="I37" s="21" t="n">
        <v>0</v>
      </c>
      <c r="J37" s="21" t="n">
        <v>0.75</v>
      </c>
      <c r="K37" s="22" t="n">
        <f aca="false">Plan!E51</f>
        <v>0.85</v>
      </c>
      <c r="L37" s="15" t="s">
        <v>1229</v>
      </c>
    </row>
    <row r="38" customFormat="false" ht="15" hidden="false" customHeight="true" outlineLevel="0" collapsed="false">
      <c r="A38" s="15" t="s">
        <v>244</v>
      </c>
      <c r="B38" s="15" t="s">
        <v>245</v>
      </c>
      <c r="C38" s="21" t="n">
        <v>0</v>
      </c>
      <c r="D38" s="21" t="n">
        <v>0</v>
      </c>
      <c r="E38" s="21" t="n">
        <v>0</v>
      </c>
      <c r="F38" s="21" t="n">
        <v>0.1</v>
      </c>
      <c r="G38" s="21" t="n">
        <v>0.1</v>
      </c>
      <c r="H38" s="21" t="n">
        <v>0.1</v>
      </c>
      <c r="I38" s="21" t="n">
        <v>0.4</v>
      </c>
      <c r="J38" s="21" t="n">
        <v>0.4</v>
      </c>
      <c r="K38" s="22" t="n">
        <f aca="false">Plan!E52</f>
        <v>0.4</v>
      </c>
      <c r="L38" s="15" t="s">
        <v>1229</v>
      </c>
    </row>
    <row r="39" customFormat="false" ht="15" hidden="false" customHeight="true" outlineLevel="0" collapsed="false">
      <c r="A39" s="15" t="s">
        <v>248</v>
      </c>
      <c r="B39" s="15" t="s">
        <v>249</v>
      </c>
      <c r="C39" s="21" t="n">
        <v>0</v>
      </c>
      <c r="D39" s="21" t="n">
        <v>0</v>
      </c>
      <c r="E39" s="21" t="n">
        <v>0</v>
      </c>
      <c r="F39" s="21" t="n">
        <v>0</v>
      </c>
      <c r="G39" s="21" t="n">
        <v>0</v>
      </c>
      <c r="H39" s="21" t="n">
        <v>0</v>
      </c>
      <c r="I39" s="21" t="n">
        <v>0</v>
      </c>
      <c r="J39" s="21" t="n">
        <v>0.3</v>
      </c>
      <c r="K39" s="22" t="n">
        <f aca="false">Plan!E53</f>
        <v>0.4</v>
      </c>
      <c r="L39" s="15" t="s">
        <v>1229</v>
      </c>
    </row>
    <row r="40" customFormat="false" ht="15" hidden="false" customHeight="true" outlineLevel="0" collapsed="false">
      <c r="A40" s="15" t="s">
        <v>252</v>
      </c>
      <c r="B40" s="15" t="s">
        <v>253</v>
      </c>
      <c r="C40" s="21" t="n">
        <v>0</v>
      </c>
      <c r="D40" s="21" t="n">
        <v>0</v>
      </c>
      <c r="E40" s="21" t="n">
        <v>0</v>
      </c>
      <c r="F40" s="21" t="n">
        <v>0</v>
      </c>
      <c r="G40" s="21" t="n">
        <v>0</v>
      </c>
      <c r="H40" s="21" t="n">
        <v>0</v>
      </c>
      <c r="I40" s="21" t="n">
        <v>0</v>
      </c>
      <c r="J40" s="21" t="n">
        <v>0</v>
      </c>
      <c r="K40" s="22" t="n">
        <f aca="false">Plan!E54</f>
        <v>0</v>
      </c>
      <c r="L40" s="15" t="s">
        <v>1232</v>
      </c>
    </row>
    <row r="41" customFormat="false" ht="15" hidden="false" customHeight="true" outlineLevel="0" collapsed="false">
      <c r="A41" s="15" t="s">
        <v>263</v>
      </c>
      <c r="B41" s="15" t="s">
        <v>264</v>
      </c>
      <c r="C41" s="21" t="n">
        <v>0</v>
      </c>
      <c r="D41" s="21" t="n">
        <v>0.1</v>
      </c>
      <c r="E41" s="21" t="n">
        <v>0.35</v>
      </c>
      <c r="F41" s="21" t="n">
        <v>1</v>
      </c>
      <c r="G41" s="21" t="n">
        <v>1</v>
      </c>
      <c r="H41" s="21" t="n">
        <v>1</v>
      </c>
      <c r="I41" s="21" t="n">
        <v>1</v>
      </c>
      <c r="J41" s="21" t="n">
        <v>1</v>
      </c>
      <c r="K41" s="22" t="n">
        <f aca="false">Plan!E57</f>
        <v>1</v>
      </c>
      <c r="L41" s="15" t="s">
        <v>1230</v>
      </c>
    </row>
    <row r="42" customFormat="false" ht="15" hidden="false" customHeight="true" outlineLevel="0" collapsed="false">
      <c r="A42" s="15" t="s">
        <v>267</v>
      </c>
      <c r="B42" s="15" t="s">
        <v>268</v>
      </c>
      <c r="C42" s="21" t="n">
        <v>0</v>
      </c>
      <c r="D42" s="21" t="n">
        <v>0</v>
      </c>
      <c r="E42" s="21" t="n">
        <v>0</v>
      </c>
      <c r="F42" s="21" t="n">
        <v>0.35</v>
      </c>
      <c r="G42" s="21" t="n">
        <v>0.5</v>
      </c>
      <c r="H42" s="21" t="n">
        <v>0.55</v>
      </c>
      <c r="I42" s="21" t="n">
        <v>0.6</v>
      </c>
      <c r="J42" s="21" t="n">
        <v>0.6</v>
      </c>
      <c r="K42" s="22" t="n">
        <f aca="false">Plan!E58</f>
        <v>0.7</v>
      </c>
      <c r="L42" s="15" t="s">
        <v>1230</v>
      </c>
    </row>
    <row r="43" customFormat="false" ht="15" hidden="false" customHeight="true" outlineLevel="0" collapsed="false">
      <c r="A43" s="15" t="s">
        <v>271</v>
      </c>
      <c r="B43" s="15" t="s">
        <v>272</v>
      </c>
      <c r="C43" s="21" t="n">
        <v>0</v>
      </c>
      <c r="D43" s="21" t="n">
        <v>0</v>
      </c>
      <c r="E43" s="21" t="n">
        <v>0</v>
      </c>
      <c r="F43" s="21" t="n">
        <v>0.45</v>
      </c>
      <c r="G43" s="21" t="n">
        <v>0.7</v>
      </c>
      <c r="H43" s="21" t="n">
        <v>0.7</v>
      </c>
      <c r="I43" s="21" t="n">
        <v>0.7</v>
      </c>
      <c r="J43" s="21" t="n">
        <v>0.7</v>
      </c>
      <c r="K43" s="22" t="n">
        <f aca="false">Plan!E59</f>
        <v>0.75</v>
      </c>
      <c r="L43" s="15" t="s">
        <v>1230</v>
      </c>
    </row>
    <row r="44" customFormat="false" ht="15" hidden="false" customHeight="true" outlineLevel="0" collapsed="false">
      <c r="A44" s="15" t="s">
        <v>275</v>
      </c>
      <c r="B44" s="15" t="s">
        <v>276</v>
      </c>
      <c r="C44" s="21" t="n">
        <v>0</v>
      </c>
      <c r="D44" s="21" t="n">
        <v>0</v>
      </c>
      <c r="E44" s="21" t="n">
        <v>0</v>
      </c>
      <c r="F44" s="21" t="n">
        <v>0</v>
      </c>
      <c r="G44" s="21" t="n">
        <v>0</v>
      </c>
      <c r="H44" s="21" t="n">
        <v>0</v>
      </c>
      <c r="I44" s="21" t="n">
        <v>0</v>
      </c>
      <c r="J44" s="21" t="n">
        <v>0</v>
      </c>
      <c r="K44" s="22" t="n">
        <f aca="false">Plan!E60</f>
        <v>0</v>
      </c>
      <c r="L44" s="15" t="s">
        <v>1232</v>
      </c>
    </row>
    <row r="45" customFormat="false" ht="15" hidden="false" customHeight="true" outlineLevel="0" collapsed="false">
      <c r="A45" s="15" t="s">
        <v>282</v>
      </c>
      <c r="B45" s="15" t="s">
        <v>283</v>
      </c>
      <c r="C45" s="21" t="n">
        <v>0</v>
      </c>
      <c r="D45" s="21" t="n">
        <v>0</v>
      </c>
      <c r="E45" s="21" t="n">
        <v>0</v>
      </c>
      <c r="F45" s="21" t="n">
        <v>0.3</v>
      </c>
      <c r="G45" s="21" t="n">
        <v>0.3</v>
      </c>
      <c r="H45" s="21" t="n">
        <v>0.3</v>
      </c>
      <c r="I45" s="21" t="n">
        <v>0.5</v>
      </c>
      <c r="J45" s="21" t="n">
        <v>0.6</v>
      </c>
      <c r="K45" s="22" t="n">
        <f aca="false">Plan!E62</f>
        <v>0.6</v>
      </c>
      <c r="L45" s="15" t="s">
        <v>1229</v>
      </c>
    </row>
    <row r="46" customFormat="false" ht="15" hidden="false" customHeight="true" outlineLevel="0" collapsed="false">
      <c r="A46" s="15" t="s">
        <v>286</v>
      </c>
      <c r="B46" s="15" t="s">
        <v>287</v>
      </c>
      <c r="C46" s="21" t="n">
        <v>0</v>
      </c>
      <c r="D46" s="21" t="n">
        <v>0</v>
      </c>
      <c r="E46" s="21" t="n">
        <v>0</v>
      </c>
      <c r="F46" s="21" t="n">
        <v>0</v>
      </c>
      <c r="G46" s="21" t="n">
        <v>0</v>
      </c>
      <c r="H46" s="21" t="n">
        <v>0</v>
      </c>
      <c r="I46" s="21" t="n">
        <v>0</v>
      </c>
      <c r="J46" s="21" t="n">
        <v>0</v>
      </c>
      <c r="K46" s="22" t="n">
        <f aca="false">Plan!E63</f>
        <v>0</v>
      </c>
      <c r="L46" s="15" t="s">
        <v>1232</v>
      </c>
    </row>
    <row r="47" customFormat="false" ht="15" hidden="false" customHeight="true" outlineLevel="0" collapsed="false">
      <c r="A47" s="15" t="s">
        <v>296</v>
      </c>
      <c r="B47" s="15" t="s">
        <v>297</v>
      </c>
      <c r="C47" s="21" t="n">
        <v>0</v>
      </c>
      <c r="D47" s="21" t="n">
        <v>0</v>
      </c>
      <c r="E47" s="21" t="n">
        <v>0</v>
      </c>
      <c r="F47" s="21" t="n">
        <v>0</v>
      </c>
      <c r="G47" s="21" t="n">
        <v>0.5</v>
      </c>
      <c r="H47" s="21" t="n">
        <v>0.5</v>
      </c>
      <c r="I47" s="21" t="n">
        <v>0.5</v>
      </c>
      <c r="J47" s="21" t="n">
        <v>0.5</v>
      </c>
      <c r="K47" s="22" t="n">
        <f aca="false">Plan!E66</f>
        <v>0.5</v>
      </c>
      <c r="L47" s="15" t="s">
        <v>1230</v>
      </c>
    </row>
    <row r="48" customFormat="false" ht="15" hidden="false" customHeight="true" outlineLevel="0" collapsed="false">
      <c r="A48" s="15" t="s">
        <v>300</v>
      </c>
      <c r="B48" s="15" t="s">
        <v>301</v>
      </c>
      <c r="C48" s="21" t="n">
        <v>0</v>
      </c>
      <c r="D48" s="21" t="n">
        <v>0</v>
      </c>
      <c r="E48" s="21" t="n">
        <v>0</v>
      </c>
      <c r="F48" s="21" t="n">
        <v>0</v>
      </c>
      <c r="G48" s="21" t="n">
        <v>0.1</v>
      </c>
      <c r="H48" s="21" t="n">
        <v>0.1</v>
      </c>
      <c r="I48" s="21" t="n">
        <v>0.3</v>
      </c>
      <c r="J48" s="21" t="n">
        <v>0.3</v>
      </c>
      <c r="K48" s="22" t="n">
        <f aca="false">Plan!E67</f>
        <v>0.65</v>
      </c>
      <c r="L48" s="15" t="s">
        <v>1233</v>
      </c>
    </row>
    <row r="49" customFormat="false" ht="15" hidden="false" customHeight="true" outlineLevel="0" collapsed="false">
      <c r="A49" s="15" t="s">
        <v>304</v>
      </c>
      <c r="B49" s="15" t="s">
        <v>305</v>
      </c>
      <c r="C49" s="21" t="n">
        <v>0</v>
      </c>
      <c r="D49" s="21" t="n">
        <v>0</v>
      </c>
      <c r="E49" s="21" t="n">
        <v>0</v>
      </c>
      <c r="F49" s="21" t="n">
        <v>0.3</v>
      </c>
      <c r="G49" s="21" t="n">
        <v>0.75</v>
      </c>
      <c r="H49" s="21" t="n">
        <v>0.8</v>
      </c>
      <c r="I49" s="21" t="n">
        <v>0.9</v>
      </c>
      <c r="J49" s="21" t="n">
        <v>1</v>
      </c>
      <c r="K49" s="22" t="n">
        <f aca="false">Plan!E68</f>
        <v>1</v>
      </c>
      <c r="L49" s="15" t="s">
        <v>1230</v>
      </c>
    </row>
    <row r="50" customFormat="false" ht="15" hidden="false" customHeight="true" outlineLevel="0" collapsed="false">
      <c r="A50" s="15" t="s">
        <v>308</v>
      </c>
      <c r="B50" s="15" t="s">
        <v>309</v>
      </c>
      <c r="C50" s="21" t="n">
        <v>0</v>
      </c>
      <c r="D50" s="21" t="n">
        <v>0</v>
      </c>
      <c r="E50" s="21" t="n">
        <v>0</v>
      </c>
      <c r="F50" s="21" t="n">
        <v>0</v>
      </c>
      <c r="G50" s="21" t="n">
        <v>0.1</v>
      </c>
      <c r="H50" s="21" t="n">
        <v>0.5</v>
      </c>
      <c r="I50" s="21" t="n">
        <v>0.5</v>
      </c>
      <c r="J50" s="21" t="n">
        <v>0.5</v>
      </c>
      <c r="K50" s="22" t="n">
        <f aca="false">Plan!E69</f>
        <v>0.6</v>
      </c>
      <c r="L50" s="15" t="s">
        <v>1230</v>
      </c>
    </row>
    <row r="51" customFormat="false" ht="15" hidden="false" customHeight="true" outlineLevel="0" collapsed="false">
      <c r="A51" s="15" t="s">
        <v>312</v>
      </c>
      <c r="B51" s="15" t="s">
        <v>313</v>
      </c>
      <c r="C51" s="21" t="n">
        <v>0</v>
      </c>
      <c r="D51" s="21" t="n">
        <v>0</v>
      </c>
      <c r="E51" s="21" t="n">
        <v>0</v>
      </c>
      <c r="F51" s="21" t="n">
        <v>0.15</v>
      </c>
      <c r="G51" s="21" t="n">
        <v>0.45</v>
      </c>
      <c r="H51" s="21" t="n">
        <v>0.45</v>
      </c>
      <c r="I51" s="21" t="n">
        <v>0.9</v>
      </c>
      <c r="J51" s="21" t="n">
        <v>0.9</v>
      </c>
      <c r="K51" s="22" t="n">
        <f aca="false">Plan!E70</f>
        <v>0.9</v>
      </c>
      <c r="L51" s="15" t="s">
        <v>1230</v>
      </c>
    </row>
    <row r="52" customFormat="false" ht="15" hidden="false" customHeight="true" outlineLevel="0" collapsed="false">
      <c r="A52" s="15" t="s">
        <v>316</v>
      </c>
      <c r="B52" s="15" t="s">
        <v>317</v>
      </c>
      <c r="C52" s="21" t="n">
        <v>0</v>
      </c>
      <c r="D52" s="21" t="n">
        <v>0</v>
      </c>
      <c r="E52" s="21" t="n">
        <v>0</v>
      </c>
      <c r="F52" s="21" t="n">
        <v>0</v>
      </c>
      <c r="G52" s="21" t="n">
        <v>0.1</v>
      </c>
      <c r="H52" s="21" t="n">
        <v>0.1</v>
      </c>
      <c r="I52" s="21" t="n">
        <v>0.1</v>
      </c>
      <c r="J52" s="21" t="n">
        <v>0.25</v>
      </c>
      <c r="K52" s="22" t="n">
        <f aca="false">Plan!E71</f>
        <v>0.25</v>
      </c>
      <c r="L52" s="15" t="s">
        <v>1229</v>
      </c>
    </row>
    <row r="53" customFormat="false" ht="15" hidden="false" customHeight="true" outlineLevel="0" collapsed="false">
      <c r="A53" s="15" t="s">
        <v>320</v>
      </c>
      <c r="B53" s="15" t="s">
        <v>321</v>
      </c>
      <c r="C53" s="21" t="n">
        <v>0</v>
      </c>
      <c r="D53" s="21" t="n">
        <v>0</v>
      </c>
      <c r="E53" s="21" t="n">
        <v>0</v>
      </c>
      <c r="F53" s="21" t="n">
        <v>0</v>
      </c>
      <c r="G53" s="21" t="n">
        <v>0</v>
      </c>
      <c r="H53" s="21" t="n">
        <v>0</v>
      </c>
      <c r="I53" s="21" t="n">
        <v>0</v>
      </c>
      <c r="J53" s="21" t="n">
        <v>0</v>
      </c>
      <c r="K53" s="22" t="n">
        <f aca="false">Plan!E72</f>
        <v>0</v>
      </c>
      <c r="L53" s="15" t="s">
        <v>1232</v>
      </c>
    </row>
    <row r="54" customFormat="false" ht="15" hidden="false" customHeight="true" outlineLevel="0" collapsed="false">
      <c r="A54" s="15" t="s">
        <v>324</v>
      </c>
      <c r="B54" s="15" t="s">
        <v>325</v>
      </c>
      <c r="C54" s="21" t="n">
        <v>0</v>
      </c>
      <c r="D54" s="21" t="n">
        <v>0</v>
      </c>
      <c r="E54" s="21" t="n">
        <v>0</v>
      </c>
      <c r="F54" s="21" t="n">
        <v>0</v>
      </c>
      <c r="G54" s="21" t="n">
        <v>0</v>
      </c>
      <c r="H54" s="21" t="n">
        <v>0</v>
      </c>
      <c r="I54" s="21" t="n">
        <v>0</v>
      </c>
      <c r="J54" s="21" t="n">
        <v>0.25</v>
      </c>
      <c r="K54" s="22" t="n">
        <f aca="false">Plan!E73</f>
        <v>0.75</v>
      </c>
      <c r="L54" s="15" t="s">
        <v>1229</v>
      </c>
    </row>
    <row r="55" customFormat="false" ht="15" hidden="false" customHeight="true" outlineLevel="0" collapsed="false">
      <c r="A55" s="15" t="s">
        <v>328</v>
      </c>
      <c r="B55" s="15" t="s">
        <v>329</v>
      </c>
      <c r="C55" s="21" t="n">
        <v>0</v>
      </c>
      <c r="D55" s="21" t="n">
        <v>0</v>
      </c>
      <c r="E55" s="21" t="n">
        <v>0</v>
      </c>
      <c r="F55" s="21" t="n">
        <v>0</v>
      </c>
      <c r="G55" s="21" t="n">
        <v>0</v>
      </c>
      <c r="H55" s="21" t="n">
        <v>0</v>
      </c>
      <c r="I55" s="21" t="n">
        <v>0</v>
      </c>
      <c r="J55" s="21" t="n">
        <v>0</v>
      </c>
      <c r="K55" s="22" t="n">
        <f aca="false">Plan!E74</f>
        <v>0.15</v>
      </c>
      <c r="L55" s="15" t="s">
        <v>1232</v>
      </c>
    </row>
    <row r="56" customFormat="false" ht="15" hidden="false" customHeight="true" outlineLevel="0" collapsed="false">
      <c r="A56" s="15" t="s">
        <v>332</v>
      </c>
      <c r="B56" s="15" t="s">
        <v>333</v>
      </c>
      <c r="C56" s="21" t="n">
        <v>0</v>
      </c>
      <c r="D56" s="21" t="n">
        <v>0</v>
      </c>
      <c r="E56" s="21" t="n">
        <v>0</v>
      </c>
      <c r="F56" s="21" t="n">
        <v>0</v>
      </c>
      <c r="G56" s="21" t="n">
        <v>0</v>
      </c>
      <c r="H56" s="21" t="n">
        <v>0</v>
      </c>
      <c r="I56" s="21" t="n">
        <v>0</v>
      </c>
      <c r="J56" s="21" t="n">
        <v>0</v>
      </c>
      <c r="K56" s="22" t="n">
        <f aca="false">Plan!E75</f>
        <v>0</v>
      </c>
      <c r="L56" s="15" t="s">
        <v>1232</v>
      </c>
    </row>
    <row r="57" customFormat="false" ht="15" hidden="false" customHeight="true" outlineLevel="0" collapsed="false">
      <c r="A57" s="15" t="s">
        <v>336</v>
      </c>
      <c r="B57" s="15" t="s">
        <v>337</v>
      </c>
      <c r="C57" s="21" t="n">
        <v>0</v>
      </c>
      <c r="D57" s="21" t="n">
        <v>0</v>
      </c>
      <c r="E57" s="21" t="n">
        <v>0</v>
      </c>
      <c r="F57" s="21" t="n">
        <v>0</v>
      </c>
      <c r="G57" s="21" t="n">
        <v>0.1</v>
      </c>
      <c r="H57" s="21" t="n">
        <v>0.45</v>
      </c>
      <c r="I57" s="21" t="n">
        <v>0.6</v>
      </c>
      <c r="J57" s="21" t="n">
        <v>0.75</v>
      </c>
      <c r="K57" s="22" t="n">
        <f aca="false">Plan!E76</f>
        <v>0.9</v>
      </c>
      <c r="L57" s="15" t="s">
        <v>1229</v>
      </c>
    </row>
    <row r="58" customFormat="false" ht="15" hidden="false" customHeight="true" outlineLevel="0" collapsed="false">
      <c r="A58" s="15" t="s">
        <v>340</v>
      </c>
      <c r="B58" s="15" t="s">
        <v>341</v>
      </c>
      <c r="C58" s="21" t="n">
        <v>0</v>
      </c>
      <c r="D58" s="21" t="n">
        <v>0</v>
      </c>
      <c r="E58" s="21" t="n">
        <v>0</v>
      </c>
      <c r="F58" s="21" t="n">
        <v>0</v>
      </c>
      <c r="G58" s="21" t="n">
        <v>0</v>
      </c>
      <c r="H58" s="21" t="n">
        <v>0.2</v>
      </c>
      <c r="I58" s="21" t="n">
        <v>0.4</v>
      </c>
      <c r="J58" s="21" t="n">
        <v>0.55</v>
      </c>
      <c r="K58" s="22" t="n">
        <f aca="false">Plan!E77</f>
        <v>0.8</v>
      </c>
      <c r="L58" s="15" t="s">
        <v>1229</v>
      </c>
    </row>
    <row r="59" customFormat="false" ht="15" hidden="false" customHeight="true" outlineLevel="0" collapsed="false">
      <c r="A59" s="15" t="s">
        <v>347</v>
      </c>
      <c r="B59" s="15" t="s">
        <v>348</v>
      </c>
      <c r="C59" s="21" t="n">
        <v>0</v>
      </c>
      <c r="D59" s="21" t="n">
        <v>0</v>
      </c>
      <c r="E59" s="21" t="n">
        <v>0</v>
      </c>
      <c r="F59" s="21" t="n">
        <v>0.4</v>
      </c>
      <c r="G59" s="21" t="n">
        <v>0.4</v>
      </c>
      <c r="H59" s="21" t="n">
        <v>0.4</v>
      </c>
      <c r="I59" s="21" t="n">
        <v>0.4</v>
      </c>
      <c r="J59" s="21" t="n">
        <v>0.6</v>
      </c>
      <c r="K59" s="22" t="n">
        <f aca="false">Plan!E79</f>
        <v>0.6</v>
      </c>
      <c r="L59" s="15" t="s">
        <v>1230</v>
      </c>
    </row>
    <row r="60" customFormat="false" ht="15" hidden="false" customHeight="true" outlineLevel="0" collapsed="false">
      <c r="A60" s="15" t="s">
        <v>351</v>
      </c>
      <c r="B60" s="15" t="s">
        <v>352</v>
      </c>
      <c r="C60" s="21" t="n">
        <v>0</v>
      </c>
      <c r="D60" s="21" t="n">
        <v>0</v>
      </c>
      <c r="E60" s="21" t="n">
        <v>0</v>
      </c>
      <c r="F60" s="21" t="n">
        <v>0</v>
      </c>
      <c r="G60" s="21" t="n">
        <v>0</v>
      </c>
      <c r="H60" s="21" t="n">
        <v>0</v>
      </c>
      <c r="I60" s="21" t="n">
        <v>0</v>
      </c>
      <c r="J60" s="21" t="n">
        <v>0</v>
      </c>
      <c r="K60" s="22" t="n">
        <f aca="false">Plan!E80</f>
        <v>0</v>
      </c>
      <c r="L60" s="15" t="s">
        <v>1232</v>
      </c>
    </row>
    <row r="61" customFormat="false" ht="15" hidden="false" customHeight="true" outlineLevel="0" collapsed="false">
      <c r="A61" s="15" t="s">
        <v>355</v>
      </c>
      <c r="B61" s="15" t="s">
        <v>356</v>
      </c>
      <c r="C61" s="21" t="n">
        <v>0</v>
      </c>
      <c r="D61" s="21" t="n">
        <v>0</v>
      </c>
      <c r="E61" s="21" t="n">
        <v>0</v>
      </c>
      <c r="F61" s="21" t="n">
        <v>0</v>
      </c>
      <c r="G61" s="21" t="n">
        <v>0</v>
      </c>
      <c r="H61" s="21" t="n">
        <v>0</v>
      </c>
      <c r="I61" s="21" t="n">
        <v>0</v>
      </c>
      <c r="J61" s="21" t="n">
        <v>0</v>
      </c>
      <c r="K61" s="22" t="n">
        <f aca="false">Plan!E81</f>
        <v>0</v>
      </c>
      <c r="L61" s="15" t="s">
        <v>1232</v>
      </c>
    </row>
    <row r="62" customFormat="false" ht="15" hidden="false" customHeight="true" outlineLevel="0" collapsed="false">
      <c r="A62" s="15" t="s">
        <v>359</v>
      </c>
      <c r="B62" s="15" t="s">
        <v>360</v>
      </c>
      <c r="C62" s="21" t="n">
        <v>0</v>
      </c>
      <c r="D62" s="21" t="n">
        <v>0</v>
      </c>
      <c r="E62" s="21" t="n">
        <v>0</v>
      </c>
      <c r="F62" s="21" t="n">
        <v>0</v>
      </c>
      <c r="G62" s="21" t="n">
        <v>0</v>
      </c>
      <c r="H62" s="21" t="n">
        <v>0</v>
      </c>
      <c r="I62" s="21" t="n">
        <v>0.1</v>
      </c>
      <c r="J62" s="21" t="n">
        <v>0.9</v>
      </c>
      <c r="K62" s="22" t="n">
        <f aca="false">Plan!E82</f>
        <v>0.9</v>
      </c>
      <c r="L62" s="15" t="s">
        <v>1230</v>
      </c>
    </row>
    <row r="63" customFormat="false" ht="15" hidden="false" customHeight="true" outlineLevel="0" collapsed="false">
      <c r="A63" s="15" t="s">
        <v>363</v>
      </c>
      <c r="B63" s="15" t="s">
        <v>364</v>
      </c>
      <c r="C63" s="21" t="n">
        <v>0</v>
      </c>
      <c r="D63" s="21" t="n">
        <v>0</v>
      </c>
      <c r="E63" s="21" t="n">
        <v>0</v>
      </c>
      <c r="F63" s="21" t="n">
        <v>0</v>
      </c>
      <c r="G63" s="21" t="n">
        <v>0</v>
      </c>
      <c r="H63" s="21" t="n">
        <v>0.2</v>
      </c>
      <c r="I63" s="21" t="n">
        <v>0.6</v>
      </c>
      <c r="J63" s="21" t="n">
        <v>0.6</v>
      </c>
      <c r="K63" s="22" t="n">
        <f aca="false">Plan!E83</f>
        <v>0.6</v>
      </c>
      <c r="L63" s="15" t="s">
        <v>1230</v>
      </c>
    </row>
    <row r="64" customFormat="false" ht="15" hidden="false" customHeight="true" outlineLevel="0" collapsed="false">
      <c r="A64" s="15" t="s">
        <v>367</v>
      </c>
      <c r="B64" s="15" t="s">
        <v>368</v>
      </c>
      <c r="C64" s="21" t="n">
        <v>0</v>
      </c>
      <c r="D64" s="21" t="n">
        <v>0</v>
      </c>
      <c r="E64" s="21" t="n">
        <v>0</v>
      </c>
      <c r="F64" s="21" t="n">
        <v>0</v>
      </c>
      <c r="G64" s="21" t="n">
        <v>0</v>
      </c>
      <c r="H64" s="21" t="n">
        <v>0</v>
      </c>
      <c r="I64" s="21" t="n">
        <v>0.5</v>
      </c>
      <c r="J64" s="21" t="n">
        <v>0.5</v>
      </c>
      <c r="K64" s="22" t="n">
        <f aca="false">Plan!E84</f>
        <v>0.5</v>
      </c>
      <c r="L64" s="15" t="s">
        <v>1229</v>
      </c>
    </row>
    <row r="65" customFormat="false" ht="15" hidden="false" customHeight="true" outlineLevel="0" collapsed="false">
      <c r="A65" s="15" t="s">
        <v>371</v>
      </c>
      <c r="B65" s="15" t="s">
        <v>372</v>
      </c>
      <c r="C65" s="21" t="n">
        <v>0</v>
      </c>
      <c r="D65" s="21" t="n">
        <v>0</v>
      </c>
      <c r="E65" s="21" t="n">
        <v>0</v>
      </c>
      <c r="F65" s="21" t="n">
        <v>0</v>
      </c>
      <c r="G65" s="21" t="n">
        <v>0</v>
      </c>
      <c r="H65" s="21" t="n">
        <v>0</v>
      </c>
      <c r="I65" s="21" t="n">
        <v>0.25</v>
      </c>
      <c r="J65" s="21" t="n">
        <v>0.25</v>
      </c>
      <c r="K65" s="22" t="n">
        <f aca="false">Plan!E85</f>
        <v>0.25</v>
      </c>
      <c r="L65" s="15" t="s">
        <v>1229</v>
      </c>
    </row>
    <row r="66" customFormat="false" ht="15" hidden="false" customHeight="true" outlineLevel="0" collapsed="false">
      <c r="A66" s="15" t="s">
        <v>381</v>
      </c>
      <c r="B66" s="15" t="s">
        <v>382</v>
      </c>
      <c r="C66" s="21" t="n">
        <v>0</v>
      </c>
      <c r="D66" s="21" t="n">
        <v>0</v>
      </c>
      <c r="E66" s="21" t="n">
        <v>0</v>
      </c>
      <c r="F66" s="21" t="n">
        <v>0</v>
      </c>
      <c r="G66" s="21" t="n">
        <v>0.2</v>
      </c>
      <c r="H66" s="21" t="n">
        <v>0.2</v>
      </c>
      <c r="I66" s="21" t="n">
        <v>0.2</v>
      </c>
      <c r="J66" s="21" t="n">
        <v>0.3</v>
      </c>
      <c r="K66" s="22" t="n">
        <f aca="false">Plan!E88</f>
        <v>0.45</v>
      </c>
      <c r="L66" s="15" t="s">
        <v>1229</v>
      </c>
    </row>
    <row r="67" customFormat="false" ht="15" hidden="false" customHeight="true" outlineLevel="0" collapsed="false">
      <c r="A67" s="15" t="s">
        <v>385</v>
      </c>
      <c r="B67" s="15" t="s">
        <v>386</v>
      </c>
      <c r="C67" s="21" t="n">
        <v>0</v>
      </c>
      <c r="D67" s="21" t="n">
        <v>0</v>
      </c>
      <c r="E67" s="21" t="n">
        <v>0</v>
      </c>
      <c r="F67" s="21" t="n">
        <v>0</v>
      </c>
      <c r="G67" s="21" t="n">
        <v>0.2</v>
      </c>
      <c r="H67" s="21" t="n">
        <v>0.25</v>
      </c>
      <c r="I67" s="21" t="n">
        <v>0.4</v>
      </c>
      <c r="J67" s="21" t="n">
        <v>0.4</v>
      </c>
      <c r="K67" s="22" t="n">
        <f aca="false">Plan!E89</f>
        <v>0.65</v>
      </c>
      <c r="L67" s="15" t="s">
        <v>1233</v>
      </c>
    </row>
    <row r="68" customFormat="false" ht="15" hidden="false" customHeight="true" outlineLevel="0" collapsed="false">
      <c r="A68" s="15" t="s">
        <v>389</v>
      </c>
      <c r="B68" s="15" t="s">
        <v>390</v>
      </c>
      <c r="C68" s="21" t="n">
        <v>0</v>
      </c>
      <c r="D68" s="21" t="n">
        <v>0</v>
      </c>
      <c r="E68" s="21" t="n">
        <v>0</v>
      </c>
      <c r="F68" s="21" t="n">
        <v>0</v>
      </c>
      <c r="G68" s="21" t="n">
        <v>0.3</v>
      </c>
      <c r="H68" s="21" t="n">
        <v>0.65</v>
      </c>
      <c r="I68" s="21" t="n">
        <v>0.65</v>
      </c>
      <c r="J68" s="21" t="n">
        <v>0.65</v>
      </c>
      <c r="K68" s="22" t="n">
        <f aca="false">Plan!E90</f>
        <v>0.65</v>
      </c>
      <c r="L68" s="15" t="s">
        <v>1230</v>
      </c>
    </row>
    <row r="69" customFormat="false" ht="15" hidden="false" customHeight="true" outlineLevel="0" collapsed="false">
      <c r="A69" s="15" t="s">
        <v>393</v>
      </c>
      <c r="B69" s="15" t="s">
        <v>394</v>
      </c>
      <c r="C69" s="21" t="n">
        <v>0</v>
      </c>
      <c r="D69" s="21" t="n">
        <v>0</v>
      </c>
      <c r="E69" s="21" t="n">
        <v>0</v>
      </c>
      <c r="F69" s="21" t="n">
        <v>0</v>
      </c>
      <c r="G69" s="21" t="n">
        <v>0</v>
      </c>
      <c r="H69" s="21" t="n">
        <v>0</v>
      </c>
      <c r="I69" s="21" t="n">
        <v>0</v>
      </c>
      <c r="J69" s="21" t="n">
        <v>0</v>
      </c>
      <c r="K69" s="22" t="n">
        <f aca="false">Plan!E91</f>
        <v>0</v>
      </c>
      <c r="L69" s="15" t="s">
        <v>1232</v>
      </c>
    </row>
    <row r="70" customFormat="false" ht="15" hidden="false" customHeight="true" outlineLevel="0" collapsed="false">
      <c r="A70" s="15" t="s">
        <v>397</v>
      </c>
      <c r="B70" s="15" t="s">
        <v>398</v>
      </c>
      <c r="C70" s="21" t="n">
        <v>0</v>
      </c>
      <c r="D70" s="21" t="n">
        <v>0</v>
      </c>
      <c r="E70" s="21" t="n">
        <v>0</v>
      </c>
      <c r="F70" s="21" t="n">
        <v>0</v>
      </c>
      <c r="G70" s="21" t="n">
        <v>0.1</v>
      </c>
      <c r="H70" s="21" t="n">
        <v>0.1</v>
      </c>
      <c r="I70" s="21" t="n">
        <v>0.3</v>
      </c>
      <c r="J70" s="21" t="n">
        <v>0.3</v>
      </c>
      <c r="K70" s="22" t="n">
        <f aca="false">Plan!E92</f>
        <v>0.35</v>
      </c>
      <c r="L70" s="15" t="s">
        <v>1230</v>
      </c>
    </row>
    <row r="71" customFormat="false" ht="15" hidden="false" customHeight="true" outlineLevel="0" collapsed="false">
      <c r="A71" s="15" t="s">
        <v>401</v>
      </c>
      <c r="B71" s="15" t="s">
        <v>402</v>
      </c>
      <c r="C71" s="21" t="n">
        <v>0</v>
      </c>
      <c r="D71" s="21" t="n">
        <v>0</v>
      </c>
      <c r="E71" s="21" t="n">
        <v>0</v>
      </c>
      <c r="F71" s="21" t="n">
        <v>0</v>
      </c>
      <c r="G71" s="21" t="n">
        <v>0.4</v>
      </c>
      <c r="H71" s="21" t="n">
        <v>0.4</v>
      </c>
      <c r="I71" s="21" t="n">
        <v>0.45</v>
      </c>
      <c r="J71" s="21" t="n">
        <v>0.45</v>
      </c>
      <c r="K71" s="22" t="n">
        <f aca="false">Plan!E93</f>
        <v>0.45</v>
      </c>
      <c r="L71" s="15" t="s">
        <v>1230</v>
      </c>
    </row>
    <row r="72" customFormat="false" ht="15" hidden="false" customHeight="true" outlineLevel="0" collapsed="false">
      <c r="A72" s="15" t="s">
        <v>405</v>
      </c>
      <c r="B72" s="15" t="s">
        <v>406</v>
      </c>
      <c r="C72" s="21" t="n">
        <v>0</v>
      </c>
      <c r="D72" s="21" t="n">
        <v>0</v>
      </c>
      <c r="E72" s="21" t="n">
        <v>0</v>
      </c>
      <c r="F72" s="21" t="n">
        <v>0</v>
      </c>
      <c r="G72" s="21" t="n">
        <v>0</v>
      </c>
      <c r="H72" s="21" t="n">
        <v>0</v>
      </c>
      <c r="I72" s="21" t="n">
        <v>0</v>
      </c>
      <c r="J72" s="21" t="n">
        <v>0</v>
      </c>
      <c r="K72" s="22" t="n">
        <f aca="false">Plan!E94</f>
        <v>0</v>
      </c>
      <c r="L72" s="15" t="s">
        <v>1232</v>
      </c>
    </row>
    <row r="73" customFormat="false" ht="15" hidden="false" customHeight="true" outlineLevel="0" collapsed="false">
      <c r="A73" s="15" t="s">
        <v>412</v>
      </c>
      <c r="B73" s="15" t="s">
        <v>413</v>
      </c>
      <c r="C73" s="21" t="n">
        <v>0</v>
      </c>
      <c r="D73" s="21" t="n">
        <v>0</v>
      </c>
      <c r="E73" s="21" t="n">
        <v>0</v>
      </c>
      <c r="F73" s="21" t="n">
        <v>0</v>
      </c>
      <c r="G73" s="21" t="n">
        <v>0.15</v>
      </c>
      <c r="H73" s="21" t="n">
        <v>0.6</v>
      </c>
      <c r="I73" s="21" t="n">
        <v>0.6</v>
      </c>
      <c r="J73" s="21" t="n">
        <v>0.6</v>
      </c>
      <c r="K73" s="22" t="n">
        <f aca="false">Plan!E96</f>
        <v>0.6</v>
      </c>
      <c r="L73" s="15" t="s">
        <v>1230</v>
      </c>
    </row>
    <row r="74" customFormat="false" ht="15" hidden="false" customHeight="true" outlineLevel="0" collapsed="false">
      <c r="A74" s="15" t="s">
        <v>416</v>
      </c>
      <c r="B74" s="15" t="s">
        <v>417</v>
      </c>
      <c r="C74" s="21" t="n">
        <v>0</v>
      </c>
      <c r="D74" s="21" t="n">
        <v>0</v>
      </c>
      <c r="E74" s="21" t="n">
        <v>0</v>
      </c>
      <c r="F74" s="21" t="n">
        <v>0.5</v>
      </c>
      <c r="G74" s="21" t="n">
        <v>0.5</v>
      </c>
      <c r="H74" s="21" t="n">
        <v>0.5</v>
      </c>
      <c r="I74" s="21" t="n">
        <v>0.5</v>
      </c>
      <c r="J74" s="21" t="n">
        <v>0.5</v>
      </c>
      <c r="K74" s="22" t="n">
        <f aca="false">Plan!E97</f>
        <v>0.5</v>
      </c>
      <c r="L74" s="15" t="s">
        <v>1229</v>
      </c>
    </row>
    <row r="75" customFormat="false" ht="15" hidden="false" customHeight="true" outlineLevel="0" collapsed="false">
      <c r="A75" s="15" t="s">
        <v>420</v>
      </c>
      <c r="B75" s="15" t="s">
        <v>421</v>
      </c>
      <c r="C75" s="21" t="n">
        <v>0</v>
      </c>
      <c r="D75" s="21" t="n">
        <v>0</v>
      </c>
      <c r="E75" s="21" t="n">
        <v>0</v>
      </c>
      <c r="F75" s="21" t="n">
        <v>0</v>
      </c>
      <c r="G75" s="21" t="n">
        <v>0</v>
      </c>
      <c r="H75" s="21" t="n">
        <v>0</v>
      </c>
      <c r="I75" s="21" t="n">
        <v>0</v>
      </c>
      <c r="J75" s="21" t="n">
        <v>0</v>
      </c>
      <c r="K75" s="22" t="n">
        <f aca="false">Plan!E98</f>
        <v>0</v>
      </c>
      <c r="L75" s="15" t="s">
        <v>1232</v>
      </c>
    </row>
    <row r="76" customFormat="false" ht="15" hidden="false" customHeight="true" outlineLevel="0" collapsed="false">
      <c r="A76" s="15" t="s">
        <v>423</v>
      </c>
      <c r="B76" s="15" t="s">
        <v>424</v>
      </c>
      <c r="C76" s="21" t="n">
        <v>0</v>
      </c>
      <c r="D76" s="21" t="n">
        <v>0</v>
      </c>
      <c r="E76" s="21" t="n">
        <v>0</v>
      </c>
      <c r="F76" s="21" t="n">
        <v>0</v>
      </c>
      <c r="G76" s="21" t="n">
        <v>0</v>
      </c>
      <c r="H76" s="21" t="n">
        <v>0</v>
      </c>
      <c r="I76" s="21" t="n">
        <v>0</v>
      </c>
      <c r="J76" s="21" t="n">
        <v>0</v>
      </c>
      <c r="K76" s="22" t="n">
        <f aca="false">Plan!E99</f>
        <v>0</v>
      </c>
      <c r="L76" s="15" t="s">
        <v>1232</v>
      </c>
    </row>
    <row r="77" customFormat="false" ht="15" hidden="false" customHeight="true" outlineLevel="0" collapsed="false">
      <c r="A77" s="15" t="s">
        <v>432</v>
      </c>
      <c r="B77" s="15" t="s">
        <v>433</v>
      </c>
      <c r="C77" s="21" t="n">
        <v>0</v>
      </c>
      <c r="D77" s="21" t="n">
        <v>0</v>
      </c>
      <c r="E77" s="21" t="n">
        <v>0</v>
      </c>
      <c r="F77" s="21" t="n">
        <v>0</v>
      </c>
      <c r="G77" s="21" t="n">
        <v>0</v>
      </c>
      <c r="H77" s="21" t="n">
        <v>0</v>
      </c>
      <c r="I77" s="21" t="n">
        <v>0</v>
      </c>
      <c r="J77" s="21" t="n">
        <v>0</v>
      </c>
      <c r="K77" s="22" t="n">
        <f aca="false">Plan!E102</f>
        <v>0</v>
      </c>
      <c r="L77" s="15" t="s">
        <v>1232</v>
      </c>
    </row>
    <row r="78" customFormat="false" ht="15" hidden="false" customHeight="true" outlineLevel="0" collapsed="false">
      <c r="A78" s="15" t="s">
        <v>436</v>
      </c>
      <c r="B78" s="15" t="s">
        <v>437</v>
      </c>
      <c r="C78" s="21" t="n">
        <v>0</v>
      </c>
      <c r="D78" s="21" t="n">
        <v>0</v>
      </c>
      <c r="E78" s="21" t="n">
        <v>0</v>
      </c>
      <c r="F78" s="21" t="n">
        <v>0</v>
      </c>
      <c r="G78" s="21" t="n">
        <v>0</v>
      </c>
      <c r="H78" s="21" t="n">
        <v>0</v>
      </c>
      <c r="I78" s="21" t="n">
        <v>0.3</v>
      </c>
      <c r="J78" s="21" t="n">
        <v>0.3</v>
      </c>
      <c r="K78" s="22" t="n">
        <f aca="false">Plan!E103</f>
        <v>0.6</v>
      </c>
      <c r="L78" s="15" t="s">
        <v>1233</v>
      </c>
    </row>
    <row r="79" customFormat="false" ht="15" hidden="false" customHeight="true" outlineLevel="0" collapsed="false">
      <c r="A79" s="15" t="s">
        <v>440</v>
      </c>
      <c r="B79" s="15" t="s">
        <v>441</v>
      </c>
      <c r="C79" s="21" t="n">
        <v>0</v>
      </c>
      <c r="D79" s="21" t="n">
        <v>0</v>
      </c>
      <c r="E79" s="21" t="n">
        <v>0</v>
      </c>
      <c r="F79" s="21" t="n">
        <v>0</v>
      </c>
      <c r="G79" s="21" t="n">
        <v>0</v>
      </c>
      <c r="H79" s="21" t="n">
        <v>0</v>
      </c>
      <c r="I79" s="21" t="n">
        <v>0</v>
      </c>
      <c r="J79" s="21" t="n">
        <v>0</v>
      </c>
      <c r="K79" s="22" t="n">
        <f aca="false">Plan!E104</f>
        <v>0</v>
      </c>
      <c r="L79" s="15" t="s">
        <v>1232</v>
      </c>
    </row>
    <row r="80" customFormat="false" ht="15" hidden="false" customHeight="true" outlineLevel="0" collapsed="false">
      <c r="A80" s="15" t="s">
        <v>447</v>
      </c>
      <c r="B80" s="15" t="s">
        <v>448</v>
      </c>
      <c r="C80" s="21" t="n">
        <v>0</v>
      </c>
      <c r="D80" s="21" t="n">
        <v>0</v>
      </c>
      <c r="E80" s="21" t="n">
        <v>0</v>
      </c>
      <c r="F80" s="21" t="n">
        <v>0</v>
      </c>
      <c r="G80" s="21" t="n">
        <v>0</v>
      </c>
      <c r="H80" s="21" t="n">
        <v>0</v>
      </c>
      <c r="I80" s="21" t="n">
        <v>0</v>
      </c>
      <c r="J80" s="21" t="n">
        <v>0.5</v>
      </c>
      <c r="K80" s="22" t="n">
        <f aca="false">Plan!E106</f>
        <v>0.5</v>
      </c>
      <c r="L80" s="15" t="s">
        <v>1230</v>
      </c>
    </row>
    <row r="81" customFormat="false" ht="15" hidden="false" customHeight="true" outlineLevel="0" collapsed="false">
      <c r="A81" s="15" t="s">
        <v>451</v>
      </c>
      <c r="B81" s="15" t="s">
        <v>452</v>
      </c>
      <c r="C81" s="21" t="n">
        <v>0</v>
      </c>
      <c r="D81" s="21" t="n">
        <v>0</v>
      </c>
      <c r="E81" s="21" t="n">
        <v>0</v>
      </c>
      <c r="F81" s="21" t="n">
        <v>0</v>
      </c>
      <c r="G81" s="21" t="n">
        <v>0</v>
      </c>
      <c r="H81" s="21" t="n">
        <v>0</v>
      </c>
      <c r="I81" s="21" t="n">
        <v>0</v>
      </c>
      <c r="J81" s="21" t="n">
        <v>0</v>
      </c>
      <c r="K81" s="22" t="n">
        <f aca="false">Plan!E107</f>
        <v>0.2</v>
      </c>
      <c r="L81" s="15" t="s">
        <v>1232</v>
      </c>
    </row>
    <row r="82" customFormat="false" ht="15" hidden="false" customHeight="true" outlineLevel="0" collapsed="false">
      <c r="A82" s="15" t="s">
        <v>455</v>
      </c>
      <c r="B82" s="15" t="s">
        <v>456</v>
      </c>
      <c r="C82" s="21" t="n">
        <v>0</v>
      </c>
      <c r="D82" s="21" t="n">
        <v>0</v>
      </c>
      <c r="E82" s="21" t="n">
        <v>0</v>
      </c>
      <c r="F82" s="21" t="n">
        <v>0.5</v>
      </c>
      <c r="G82" s="21" t="n">
        <v>0.5</v>
      </c>
      <c r="H82" s="21" t="n">
        <v>0.5</v>
      </c>
      <c r="I82" s="21" t="n">
        <v>0.5</v>
      </c>
      <c r="J82" s="21" t="n">
        <v>0.5</v>
      </c>
      <c r="K82" s="22" t="n">
        <f aca="false">Plan!E108</f>
        <v>0.5</v>
      </c>
      <c r="L82" s="15" t="s">
        <v>1229</v>
      </c>
    </row>
    <row r="83" customFormat="false" ht="15" hidden="false" customHeight="true" outlineLevel="0" collapsed="false">
      <c r="A83" s="15" t="s">
        <v>465</v>
      </c>
      <c r="B83" s="15" t="s">
        <v>466</v>
      </c>
      <c r="C83" s="21" t="n">
        <v>0</v>
      </c>
      <c r="D83" s="21" t="n">
        <v>0</v>
      </c>
      <c r="E83" s="21" t="n">
        <v>0</v>
      </c>
      <c r="F83" s="21" t="n">
        <v>0</v>
      </c>
      <c r="G83" s="21" t="n">
        <v>0</v>
      </c>
      <c r="H83" s="21" t="n">
        <v>0</v>
      </c>
      <c r="I83" s="21" t="n">
        <v>0</v>
      </c>
      <c r="J83" s="21" t="n">
        <v>0</v>
      </c>
      <c r="K83" s="22" t="n">
        <f aca="false">Plan!E111</f>
        <v>0</v>
      </c>
      <c r="L83" s="15" t="s">
        <v>1232</v>
      </c>
    </row>
    <row r="84" customFormat="false" ht="15" hidden="false" customHeight="true" outlineLevel="0" collapsed="false">
      <c r="A84" s="15" t="s">
        <v>469</v>
      </c>
      <c r="B84" s="15" t="s">
        <v>470</v>
      </c>
      <c r="C84" s="21" t="n">
        <v>0</v>
      </c>
      <c r="D84" s="21" t="n">
        <v>0</v>
      </c>
      <c r="E84" s="21" t="n">
        <v>0</v>
      </c>
      <c r="F84" s="21" t="n">
        <v>0</v>
      </c>
      <c r="G84" s="21" t="n">
        <v>0</v>
      </c>
      <c r="H84" s="21" t="n">
        <v>0</v>
      </c>
      <c r="I84" s="21" t="n">
        <v>0</v>
      </c>
      <c r="J84" s="21" t="n">
        <v>0</v>
      </c>
      <c r="K84" s="22" t="n">
        <f aca="false">Plan!E112</f>
        <v>0.2</v>
      </c>
      <c r="L84" s="15" t="s">
        <v>1232</v>
      </c>
    </row>
    <row r="85" customFormat="false" ht="15" hidden="false" customHeight="true" outlineLevel="0" collapsed="false">
      <c r="A85" s="15" t="s">
        <v>473</v>
      </c>
      <c r="B85" s="15" t="s">
        <v>474</v>
      </c>
      <c r="C85" s="21" t="n">
        <v>0</v>
      </c>
      <c r="D85" s="21" t="n">
        <v>0</v>
      </c>
      <c r="E85" s="21" t="n">
        <v>0</v>
      </c>
      <c r="F85" s="21" t="n">
        <v>0</v>
      </c>
      <c r="G85" s="21" t="n">
        <v>0</v>
      </c>
      <c r="H85" s="21" t="n">
        <v>0</v>
      </c>
      <c r="I85" s="21" t="n">
        <v>0</v>
      </c>
      <c r="J85" s="21" t="n">
        <v>0</v>
      </c>
      <c r="K85" s="22" t="n">
        <f aca="false">Plan!E113</f>
        <v>0</v>
      </c>
      <c r="L85" s="15" t="s">
        <v>1232</v>
      </c>
    </row>
    <row r="86" customFormat="false" ht="15" hidden="false" customHeight="true" outlineLevel="0" collapsed="false">
      <c r="A86" s="15" t="s">
        <v>479</v>
      </c>
      <c r="B86" s="15" t="s">
        <v>480</v>
      </c>
      <c r="C86" s="21" t="n">
        <v>0</v>
      </c>
      <c r="D86" s="21" t="n">
        <v>0</v>
      </c>
      <c r="E86" s="21" t="n">
        <v>0</v>
      </c>
      <c r="F86" s="21" t="n">
        <v>0</v>
      </c>
      <c r="G86" s="21" t="n">
        <v>0</v>
      </c>
      <c r="H86" s="21" t="n">
        <v>0</v>
      </c>
      <c r="I86" s="21" t="n">
        <v>0</v>
      </c>
      <c r="J86" s="21" t="n">
        <v>0</v>
      </c>
      <c r="K86" s="22" t="n">
        <f aca="false">Plan!E115</f>
        <v>0</v>
      </c>
      <c r="L86" s="15" t="s">
        <v>1232</v>
      </c>
    </row>
    <row r="87" customFormat="false" ht="15" hidden="false" customHeight="true" outlineLevel="0" collapsed="false">
      <c r="A87" s="15" t="s">
        <v>482</v>
      </c>
      <c r="B87" s="15" t="s">
        <v>483</v>
      </c>
      <c r="C87" s="21" t="n">
        <v>0</v>
      </c>
      <c r="D87" s="21" t="n">
        <v>0</v>
      </c>
      <c r="E87" s="21" t="n">
        <v>0</v>
      </c>
      <c r="F87" s="21" t="n">
        <v>0</v>
      </c>
      <c r="G87" s="21" t="n">
        <v>0</v>
      </c>
      <c r="H87" s="21" t="n">
        <v>0</v>
      </c>
      <c r="I87" s="21" t="n">
        <v>0</v>
      </c>
      <c r="J87" s="21" t="n">
        <v>0</v>
      </c>
      <c r="K87" s="22" t="n">
        <f aca="false">Plan!E116</f>
        <v>0</v>
      </c>
      <c r="L87" s="15" t="s">
        <v>1232</v>
      </c>
    </row>
    <row r="88" customFormat="false" ht="15" hidden="false" customHeight="true" outlineLevel="0" collapsed="false">
      <c r="A88" s="15" t="s">
        <v>485</v>
      </c>
      <c r="B88" s="15" t="s">
        <v>486</v>
      </c>
      <c r="C88" s="21" t="n">
        <v>0</v>
      </c>
      <c r="D88" s="21" t="n">
        <v>0</v>
      </c>
      <c r="E88" s="21" t="n">
        <v>0</v>
      </c>
      <c r="F88" s="21" t="n">
        <v>0</v>
      </c>
      <c r="G88" s="21" t="n">
        <v>0</v>
      </c>
      <c r="H88" s="21" t="n">
        <v>0</v>
      </c>
      <c r="I88" s="21" t="n">
        <v>0</v>
      </c>
      <c r="J88" s="21" t="n">
        <v>0</v>
      </c>
      <c r="K88" s="22" t="n">
        <f aca="false">Plan!E117</f>
        <v>0</v>
      </c>
      <c r="L88" s="15" t="s">
        <v>1232</v>
      </c>
    </row>
    <row r="89" customFormat="false" ht="15" hidden="false" customHeight="true" outlineLevel="0" collapsed="false">
      <c r="A89" s="15" t="s">
        <v>494</v>
      </c>
      <c r="B89" s="15" t="s">
        <v>495</v>
      </c>
      <c r="C89" s="21" t="n">
        <v>0</v>
      </c>
      <c r="D89" s="21" t="n">
        <v>0</v>
      </c>
      <c r="E89" s="21" t="n">
        <v>0</v>
      </c>
      <c r="F89" s="21" t="n">
        <v>0</v>
      </c>
      <c r="G89" s="21" t="n">
        <v>0</v>
      </c>
      <c r="H89" s="21" t="n">
        <v>0</v>
      </c>
      <c r="I89" s="21" t="n">
        <v>0</v>
      </c>
      <c r="J89" s="21" t="n">
        <v>0</v>
      </c>
      <c r="K89" s="22" t="n">
        <f aca="false">Plan!E120</f>
        <v>0</v>
      </c>
      <c r="L89" s="15" t="s">
        <v>1232</v>
      </c>
    </row>
    <row r="90" customFormat="false" ht="15" hidden="false" customHeight="true" outlineLevel="0" collapsed="false">
      <c r="A90" s="15" t="s">
        <v>498</v>
      </c>
      <c r="B90" s="15" t="s">
        <v>499</v>
      </c>
      <c r="C90" s="21" t="n">
        <v>0</v>
      </c>
      <c r="D90" s="21" t="n">
        <v>0</v>
      </c>
      <c r="E90" s="21" t="n">
        <v>0</v>
      </c>
      <c r="F90" s="21" t="n">
        <v>0</v>
      </c>
      <c r="G90" s="21" t="n">
        <v>0</v>
      </c>
      <c r="H90" s="21" t="n">
        <v>0</v>
      </c>
      <c r="I90" s="21" t="n">
        <v>0</v>
      </c>
      <c r="J90" s="21" t="n">
        <v>0</v>
      </c>
      <c r="K90" s="22" t="n">
        <f aca="false">Plan!E121</f>
        <v>0</v>
      </c>
      <c r="L90" s="15" t="s">
        <v>1232</v>
      </c>
    </row>
    <row r="91" customFormat="false" ht="15" hidden="false" customHeight="true" outlineLevel="0" collapsed="false">
      <c r="A91" s="15" t="s">
        <v>504</v>
      </c>
      <c r="B91" s="15" t="s">
        <v>505</v>
      </c>
      <c r="C91" s="21" t="n">
        <v>0</v>
      </c>
      <c r="D91" s="21" t="n">
        <v>0</v>
      </c>
      <c r="E91" s="21" t="n">
        <v>0</v>
      </c>
      <c r="F91" s="21" t="n">
        <v>0</v>
      </c>
      <c r="G91" s="21" t="n">
        <v>0</v>
      </c>
      <c r="H91" s="21" t="n">
        <v>0</v>
      </c>
      <c r="I91" s="21" t="n">
        <v>0</v>
      </c>
      <c r="J91" s="21" t="n">
        <v>0</v>
      </c>
      <c r="K91" s="22" t="n">
        <f aca="false">Plan!E123</f>
        <v>0</v>
      </c>
      <c r="L91" s="15" t="s">
        <v>1232</v>
      </c>
    </row>
    <row r="92" customFormat="false" ht="15" hidden="false" customHeight="true" outlineLevel="0" collapsed="false">
      <c r="A92" s="15" t="s">
        <v>507</v>
      </c>
      <c r="B92" s="15" t="s">
        <v>508</v>
      </c>
      <c r="C92" s="21" t="n">
        <v>0</v>
      </c>
      <c r="D92" s="21" t="n">
        <v>0</v>
      </c>
      <c r="E92" s="21" t="n">
        <v>0</v>
      </c>
      <c r="F92" s="21" t="n">
        <v>0</v>
      </c>
      <c r="G92" s="21" t="n">
        <v>0</v>
      </c>
      <c r="H92" s="21" t="n">
        <v>0</v>
      </c>
      <c r="I92" s="21" t="n">
        <v>0</v>
      </c>
      <c r="J92" s="21" t="n">
        <v>0</v>
      </c>
      <c r="K92" s="22" t="n">
        <f aca="false">Plan!E124</f>
        <v>0</v>
      </c>
      <c r="L92" s="15" t="s">
        <v>1232</v>
      </c>
    </row>
    <row r="93" customFormat="false" ht="15" hidden="false" customHeight="true" outlineLevel="0" collapsed="false">
      <c r="A93" s="15" t="s">
        <v>516</v>
      </c>
      <c r="B93" s="15" t="s">
        <v>517</v>
      </c>
      <c r="C93" s="21" t="n">
        <v>0</v>
      </c>
      <c r="D93" s="21" t="n">
        <v>0</v>
      </c>
      <c r="E93" s="21" t="n">
        <v>0</v>
      </c>
      <c r="F93" s="21" t="n">
        <v>0.5</v>
      </c>
      <c r="G93" s="21" t="n">
        <v>0.5</v>
      </c>
      <c r="H93" s="21" t="n">
        <v>0.5</v>
      </c>
      <c r="I93" s="21" t="n">
        <v>0.5</v>
      </c>
      <c r="J93" s="21" t="n">
        <v>0.5</v>
      </c>
      <c r="K93" s="22" t="n">
        <f aca="false">Plan!E127</f>
        <v>0.5</v>
      </c>
      <c r="L93" s="15" t="s">
        <v>1229</v>
      </c>
    </row>
    <row r="94" customFormat="false" ht="15" hidden="false" customHeight="true" outlineLevel="0" collapsed="false">
      <c r="A94" s="15" t="s">
        <v>520</v>
      </c>
      <c r="B94" s="15" t="s">
        <v>521</v>
      </c>
      <c r="C94" s="21" t="n">
        <v>0</v>
      </c>
      <c r="D94" s="21" t="n">
        <v>0</v>
      </c>
      <c r="E94" s="21" t="n">
        <v>0</v>
      </c>
      <c r="F94" s="21" t="n">
        <v>0</v>
      </c>
      <c r="G94" s="21" t="n">
        <v>0</v>
      </c>
      <c r="H94" s="21" t="n">
        <v>0</v>
      </c>
      <c r="I94" s="21" t="n">
        <v>0</v>
      </c>
      <c r="J94" s="21" t="n">
        <v>0</v>
      </c>
      <c r="K94" s="22" t="n">
        <f aca="false">Plan!E128</f>
        <v>0</v>
      </c>
      <c r="L94" s="15" t="s">
        <v>1232</v>
      </c>
    </row>
    <row r="95" customFormat="false" ht="15" hidden="false" customHeight="true" outlineLevel="0" collapsed="false">
      <c r="A95" s="15" t="s">
        <v>526</v>
      </c>
      <c r="B95" s="15" t="s">
        <v>527</v>
      </c>
      <c r="C95" s="21" t="n">
        <v>0</v>
      </c>
      <c r="D95" s="21" t="n">
        <v>0</v>
      </c>
      <c r="E95" s="21" t="n">
        <v>0</v>
      </c>
      <c r="F95" s="21" t="n">
        <v>0.5</v>
      </c>
      <c r="G95" s="21" t="n">
        <v>0.5</v>
      </c>
      <c r="H95" s="21" t="n">
        <v>0.5</v>
      </c>
      <c r="I95" s="21" t="n">
        <v>0.5</v>
      </c>
      <c r="J95" s="21" t="n">
        <v>0.75</v>
      </c>
      <c r="K95" s="22" t="n">
        <f aca="false">Plan!E130</f>
        <v>0.75</v>
      </c>
      <c r="L95" s="15" t="s">
        <v>1229</v>
      </c>
    </row>
    <row r="96" customFormat="false" ht="15" hidden="false" customHeight="true" outlineLevel="0" collapsed="false">
      <c r="A96" s="15" t="s">
        <v>530</v>
      </c>
      <c r="B96" s="15" t="s">
        <v>531</v>
      </c>
      <c r="C96" s="21" t="n">
        <v>0</v>
      </c>
      <c r="D96" s="21" t="n">
        <v>0</v>
      </c>
      <c r="E96" s="21" t="n">
        <v>0</v>
      </c>
      <c r="F96" s="21" t="n">
        <v>0</v>
      </c>
      <c r="G96" s="21" t="n">
        <v>0</v>
      </c>
      <c r="H96" s="21" t="n">
        <v>0</v>
      </c>
      <c r="I96" s="21" t="n">
        <v>0</v>
      </c>
      <c r="J96" s="21" t="n">
        <v>0</v>
      </c>
      <c r="K96" s="22" t="n">
        <f aca="false">Plan!E131</f>
        <v>0</v>
      </c>
      <c r="L96" s="15" t="s">
        <v>1232</v>
      </c>
    </row>
    <row r="97" customFormat="false" ht="15" hidden="false" customHeight="true" outlineLevel="0" collapsed="false">
      <c r="A97" s="15" t="s">
        <v>539</v>
      </c>
      <c r="B97" s="15" t="s">
        <v>540</v>
      </c>
      <c r="C97" s="21" t="n">
        <v>0</v>
      </c>
      <c r="D97" s="21" t="n">
        <v>0</v>
      </c>
      <c r="E97" s="21" t="n">
        <v>0</v>
      </c>
      <c r="F97" s="21" t="n">
        <v>0</v>
      </c>
      <c r="G97" s="21" t="n">
        <v>0.25</v>
      </c>
      <c r="H97" s="21" t="n">
        <v>0.25</v>
      </c>
      <c r="I97" s="21" t="n">
        <v>0.25</v>
      </c>
      <c r="J97" s="21" t="n">
        <v>0.25</v>
      </c>
      <c r="K97" s="22" t="n">
        <f aca="false">Plan!E134</f>
        <v>0.5</v>
      </c>
      <c r="L97" s="15" t="s">
        <v>1229</v>
      </c>
    </row>
    <row r="98" customFormat="false" ht="15" hidden="false" customHeight="true" outlineLevel="0" collapsed="false">
      <c r="A98" s="15" t="s">
        <v>543</v>
      </c>
      <c r="B98" s="15" t="s">
        <v>544</v>
      </c>
      <c r="C98" s="21" t="n">
        <v>0</v>
      </c>
      <c r="D98" s="21" t="n">
        <v>0</v>
      </c>
      <c r="E98" s="21" t="n">
        <v>0</v>
      </c>
      <c r="F98" s="21" t="n">
        <v>0</v>
      </c>
      <c r="G98" s="21" t="n">
        <v>0</v>
      </c>
      <c r="H98" s="21" t="n">
        <v>0</v>
      </c>
      <c r="I98" s="21" t="n">
        <v>0</v>
      </c>
      <c r="J98" s="21" t="n">
        <v>0</v>
      </c>
      <c r="K98" s="22" t="n">
        <f aca="false">Plan!E135</f>
        <v>0.25</v>
      </c>
      <c r="L98" s="15" t="s">
        <v>1232</v>
      </c>
    </row>
    <row r="99" customFormat="false" ht="15" hidden="false" customHeight="true" outlineLevel="0" collapsed="false">
      <c r="A99" s="15" t="s">
        <v>547</v>
      </c>
      <c r="B99" s="15" t="s">
        <v>548</v>
      </c>
      <c r="C99" s="21" t="n">
        <v>0</v>
      </c>
      <c r="D99" s="21" t="n">
        <v>0</v>
      </c>
      <c r="E99" s="21" t="n">
        <v>0</v>
      </c>
      <c r="F99" s="21" t="n">
        <v>0</v>
      </c>
      <c r="G99" s="21" t="n">
        <v>0</v>
      </c>
      <c r="H99" s="21" t="n">
        <v>0</v>
      </c>
      <c r="I99" s="21" t="n">
        <v>0</v>
      </c>
      <c r="J99" s="21" t="n">
        <v>0</v>
      </c>
      <c r="K99" s="22" t="n">
        <f aca="false">Plan!E136</f>
        <v>0</v>
      </c>
      <c r="L99" s="15" t="s">
        <v>1232</v>
      </c>
    </row>
    <row r="100" customFormat="false" ht="15" hidden="false" customHeight="true" outlineLevel="0" collapsed="false">
      <c r="A100" s="15" t="s">
        <v>553</v>
      </c>
      <c r="B100" s="15" t="s">
        <v>554</v>
      </c>
      <c r="C100" s="21" t="n">
        <v>0</v>
      </c>
      <c r="D100" s="21" t="n">
        <v>0</v>
      </c>
      <c r="E100" s="21" t="n">
        <v>0</v>
      </c>
      <c r="F100" s="21" t="n">
        <v>0</v>
      </c>
      <c r="G100" s="21" t="n">
        <v>0</v>
      </c>
      <c r="H100" s="21" t="n">
        <v>0</v>
      </c>
      <c r="I100" s="21" t="n">
        <v>0</v>
      </c>
      <c r="J100" s="21" t="n">
        <v>0</v>
      </c>
      <c r="K100" s="22" t="n">
        <f aca="false">Plan!E138</f>
        <v>0</v>
      </c>
      <c r="L100" s="15" t="s">
        <v>1232</v>
      </c>
    </row>
    <row r="101" customFormat="false" ht="15" hidden="false" customHeight="true" outlineLevel="0" collapsed="false">
      <c r="A101" s="15" t="s">
        <v>556</v>
      </c>
      <c r="B101" s="15" t="s">
        <v>557</v>
      </c>
      <c r="C101" s="21" t="n">
        <v>0</v>
      </c>
      <c r="D101" s="21" t="n">
        <v>0</v>
      </c>
      <c r="E101" s="21" t="n">
        <v>0</v>
      </c>
      <c r="F101" s="21" t="n">
        <v>0</v>
      </c>
      <c r="G101" s="21" t="n">
        <v>0</v>
      </c>
      <c r="H101" s="21" t="n">
        <v>0</v>
      </c>
      <c r="I101" s="21" t="n">
        <v>0</v>
      </c>
      <c r="J101" s="21" t="n">
        <v>0</v>
      </c>
      <c r="K101" s="22" t="n">
        <f aca="false">Plan!E139</f>
        <v>0</v>
      </c>
      <c r="L101" s="15" t="s">
        <v>1232</v>
      </c>
    </row>
    <row r="102" customFormat="false" ht="15" hidden="false" customHeight="true" outlineLevel="0" collapsed="false">
      <c r="A102" s="15" t="s">
        <v>558</v>
      </c>
      <c r="B102" s="15" t="s">
        <v>559</v>
      </c>
      <c r="C102" s="21" t="n">
        <v>0</v>
      </c>
      <c r="D102" s="21" t="n">
        <v>0</v>
      </c>
      <c r="E102" s="21" t="n">
        <v>0</v>
      </c>
      <c r="F102" s="21" t="n">
        <v>0</v>
      </c>
      <c r="G102" s="21" t="n">
        <v>0</v>
      </c>
      <c r="H102" s="21" t="n">
        <v>0</v>
      </c>
      <c r="I102" s="21" t="n">
        <v>0</v>
      </c>
      <c r="J102" s="21" t="n">
        <v>0</v>
      </c>
      <c r="K102" s="22" t="n">
        <f aca="false">Plan!E140</f>
        <v>0</v>
      </c>
      <c r="L102" s="15" t="s">
        <v>1232</v>
      </c>
    </row>
    <row r="103" customFormat="false" ht="15" hidden="false" customHeight="true" outlineLevel="0" collapsed="false">
      <c r="A103" s="15" t="s">
        <v>566</v>
      </c>
      <c r="B103" s="15" t="s">
        <v>567</v>
      </c>
      <c r="C103" s="21" t="n">
        <v>0</v>
      </c>
      <c r="D103" s="21" t="n">
        <v>0.05</v>
      </c>
      <c r="E103" s="21" t="n">
        <v>0.05</v>
      </c>
      <c r="F103" s="21" t="n">
        <v>0.2</v>
      </c>
      <c r="G103" s="21" t="n">
        <v>0.4</v>
      </c>
      <c r="H103" s="21" t="n">
        <v>0.8</v>
      </c>
      <c r="I103" s="21" t="n">
        <v>0.9</v>
      </c>
      <c r="J103" s="21" t="n">
        <v>0.9</v>
      </c>
      <c r="K103" s="22" t="n">
        <f aca="false">Plan!E143</f>
        <v>0.9</v>
      </c>
      <c r="L103" s="15" t="s">
        <v>1230</v>
      </c>
    </row>
    <row r="104" customFormat="false" ht="15" hidden="false" customHeight="true" outlineLevel="0" collapsed="false">
      <c r="A104" s="15" t="s">
        <v>573</v>
      </c>
      <c r="B104" s="15" t="s">
        <v>574</v>
      </c>
      <c r="C104" s="21" t="n">
        <v>0</v>
      </c>
      <c r="D104" s="21" t="n">
        <v>0</v>
      </c>
      <c r="E104" s="21" t="n">
        <v>0</v>
      </c>
      <c r="F104" s="21" t="n">
        <v>0</v>
      </c>
      <c r="G104" s="21" t="n">
        <v>0</v>
      </c>
      <c r="H104" s="21" t="n">
        <v>0.05</v>
      </c>
      <c r="I104" s="21" t="n">
        <v>0.9</v>
      </c>
      <c r="J104" s="21" t="n">
        <v>0.9</v>
      </c>
      <c r="K104" s="22" t="n">
        <f aca="false">Plan!E145</f>
        <v>0.9</v>
      </c>
      <c r="L104" s="15" t="s">
        <v>1230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70"/>
    <col collapsed="false" customWidth="true" hidden="false" outlineLevel="0" max="4" min="4" style="1" width="9"/>
    <col collapsed="false" customWidth="true" hidden="false" outlineLevel="0" max="5" min="5" style="1" width="6"/>
    <col collapsed="false" customWidth="true" hidden="false" outlineLevel="0" max="6" min="6" style="1" width="16"/>
    <col collapsed="false" customWidth="true" hidden="false" outlineLevel="0" max="7" min="7" style="1" width="20"/>
    <col collapsed="false" customWidth="true" hidden="false" outlineLevel="0" max="8" min="8" style="1" width="44"/>
  </cols>
  <sheetData>
    <row r="1" customFormat="false" ht="30" hidden="false" customHeight="true" outlineLevel="0" collapsed="false">
      <c r="A1" s="14" t="s">
        <v>1234</v>
      </c>
      <c r="B1" s="14" t="s">
        <v>1235</v>
      </c>
      <c r="C1" s="14" t="s">
        <v>1236</v>
      </c>
      <c r="D1" s="14" t="s">
        <v>1237</v>
      </c>
      <c r="E1" s="14" t="s">
        <v>1101</v>
      </c>
      <c r="F1" s="14" t="s">
        <v>1238</v>
      </c>
      <c r="G1" s="14" t="s">
        <v>1239</v>
      </c>
      <c r="H1" s="14" t="s">
        <v>1240</v>
      </c>
    </row>
    <row r="2" customFormat="false" ht="27.75" hidden="false" customHeight="true" outlineLevel="0" collapsed="false">
      <c r="A2" s="16" t="n">
        <v>1</v>
      </c>
      <c r="B2" s="16" t="s">
        <v>1241</v>
      </c>
      <c r="C2" s="16" t="s">
        <v>1242</v>
      </c>
      <c r="D2" s="16" t="s">
        <v>340</v>
      </c>
      <c r="E2" s="16" t="s">
        <v>576</v>
      </c>
      <c r="F2" s="16" t="s">
        <v>1243</v>
      </c>
      <c r="G2" s="16"/>
      <c r="H2" s="16" t="s">
        <v>1244</v>
      </c>
    </row>
    <row r="3" customFormat="false" ht="42" hidden="false" customHeight="true" outlineLevel="0" collapsed="false">
      <c r="A3" s="16" t="n">
        <v>2</v>
      </c>
      <c r="B3" s="16" t="s">
        <v>1241</v>
      </c>
      <c r="C3" s="16" t="s">
        <v>1245</v>
      </c>
      <c r="D3" s="16" t="s">
        <v>340</v>
      </c>
      <c r="E3" s="16" t="s">
        <v>576</v>
      </c>
      <c r="F3" s="16"/>
      <c r="G3" s="16"/>
      <c r="H3" s="16" t="s">
        <v>1246</v>
      </c>
    </row>
    <row r="4" customFormat="false" ht="27.75" hidden="false" customHeight="true" outlineLevel="0" collapsed="false">
      <c r="A4" s="16" t="n">
        <v>3</v>
      </c>
      <c r="B4" s="16" t="s">
        <v>1241</v>
      </c>
      <c r="C4" s="16" t="s">
        <v>1247</v>
      </c>
      <c r="D4" s="16" t="s">
        <v>336</v>
      </c>
      <c r="E4" s="16" t="s">
        <v>576</v>
      </c>
      <c r="F4" s="16"/>
      <c r="G4" s="16"/>
      <c r="H4" s="16" t="s">
        <v>1246</v>
      </c>
    </row>
    <row r="5" customFormat="false" ht="27.75" hidden="false" customHeight="true" outlineLevel="0" collapsed="false">
      <c r="A5" s="16" t="n">
        <v>4</v>
      </c>
      <c r="B5" s="16" t="s">
        <v>1241</v>
      </c>
      <c r="C5" s="16" t="s">
        <v>1248</v>
      </c>
      <c r="D5" s="16" t="s">
        <v>123</v>
      </c>
      <c r="E5" s="16" t="s">
        <v>576</v>
      </c>
      <c r="F5" s="16" t="s">
        <v>1249</v>
      </c>
      <c r="G5" s="16" t="s">
        <v>1250</v>
      </c>
      <c r="H5" s="16" t="s">
        <v>1244</v>
      </c>
    </row>
    <row r="6" customFormat="false" ht="27.75" hidden="false" customHeight="true" outlineLevel="0" collapsed="false">
      <c r="A6" s="16" t="n">
        <v>5</v>
      </c>
      <c r="B6" s="16" t="s">
        <v>1241</v>
      </c>
      <c r="C6" s="16" t="s">
        <v>1251</v>
      </c>
      <c r="D6" s="16" t="s">
        <v>123</v>
      </c>
      <c r="E6" s="16" t="s">
        <v>576</v>
      </c>
      <c r="F6" s="16"/>
      <c r="G6" s="16" t="s">
        <v>1252</v>
      </c>
      <c r="H6" s="16" t="s">
        <v>1244</v>
      </c>
    </row>
    <row r="7" customFormat="false" ht="42" hidden="false" customHeight="true" outlineLevel="0" collapsed="false">
      <c r="A7" s="16" t="n">
        <v>6</v>
      </c>
      <c r="B7" s="16" t="s">
        <v>1241</v>
      </c>
      <c r="C7" s="16" t="s">
        <v>1253</v>
      </c>
      <c r="D7" s="16" t="s">
        <v>340</v>
      </c>
      <c r="E7" s="16" t="s">
        <v>576</v>
      </c>
      <c r="F7" s="16" t="s">
        <v>1243</v>
      </c>
      <c r="G7" s="16"/>
      <c r="H7" s="16" t="s">
        <v>1244</v>
      </c>
    </row>
    <row r="8" customFormat="false" ht="27.75" hidden="false" customHeight="true" outlineLevel="0" collapsed="false">
      <c r="A8" s="16" t="n">
        <v>7</v>
      </c>
      <c r="B8" s="16" t="s">
        <v>1254</v>
      </c>
      <c r="C8" s="16" t="s">
        <v>1255</v>
      </c>
      <c r="D8" s="16" t="s">
        <v>312</v>
      </c>
      <c r="E8" s="16" t="s">
        <v>576</v>
      </c>
      <c r="F8" s="16" t="s">
        <v>1256</v>
      </c>
      <c r="G8" s="16" t="s">
        <v>1257</v>
      </c>
      <c r="H8" s="16" t="s">
        <v>1244</v>
      </c>
    </row>
    <row r="9" customFormat="false" ht="27.75" hidden="false" customHeight="true" outlineLevel="0" collapsed="false">
      <c r="A9" s="16" t="n">
        <v>8</v>
      </c>
      <c r="B9" s="16" t="s">
        <v>1254</v>
      </c>
      <c r="C9" s="16" t="s">
        <v>1258</v>
      </c>
      <c r="D9" s="16" t="s">
        <v>312</v>
      </c>
      <c r="E9" s="16" t="s">
        <v>576</v>
      </c>
      <c r="F9" s="16" t="s">
        <v>1259</v>
      </c>
      <c r="G9" s="16" t="s">
        <v>1260</v>
      </c>
      <c r="H9" s="16" t="s">
        <v>1244</v>
      </c>
    </row>
    <row r="10" customFormat="false" ht="27.75" hidden="false" customHeight="true" outlineLevel="0" collapsed="false">
      <c r="A10" s="16" t="n">
        <v>9</v>
      </c>
      <c r="B10" s="16" t="s">
        <v>1254</v>
      </c>
      <c r="C10" s="16" t="s">
        <v>1261</v>
      </c>
      <c r="D10" s="16" t="s">
        <v>312</v>
      </c>
      <c r="E10" s="16" t="s">
        <v>576</v>
      </c>
      <c r="F10" s="16"/>
      <c r="G10" s="16"/>
      <c r="H10" s="16" t="s">
        <v>1246</v>
      </c>
    </row>
    <row r="11" customFormat="false" ht="27.75" hidden="false" customHeight="true" outlineLevel="0" collapsed="false">
      <c r="A11" s="16" t="n">
        <v>10</v>
      </c>
      <c r="B11" s="16" t="s">
        <v>1254</v>
      </c>
      <c r="C11" s="16" t="s">
        <v>1262</v>
      </c>
      <c r="D11" s="16" t="s">
        <v>312</v>
      </c>
      <c r="E11" s="16" t="s">
        <v>576</v>
      </c>
      <c r="F11" s="16" t="s">
        <v>1263</v>
      </c>
      <c r="G11" s="16" t="s">
        <v>1264</v>
      </c>
      <c r="H11" s="16" t="s">
        <v>1244</v>
      </c>
    </row>
    <row r="12" customFormat="false" ht="27.75" hidden="false" customHeight="true" outlineLevel="0" collapsed="false">
      <c r="A12" s="16" t="n">
        <v>11</v>
      </c>
      <c r="B12" s="16" t="s">
        <v>1254</v>
      </c>
      <c r="C12" s="16" t="s">
        <v>1265</v>
      </c>
      <c r="D12" s="16" t="s">
        <v>312</v>
      </c>
      <c r="E12" s="16" t="s">
        <v>576</v>
      </c>
      <c r="F12" s="16" t="s">
        <v>1266</v>
      </c>
      <c r="G12" s="16"/>
      <c r="H12" s="16" t="s">
        <v>1244</v>
      </c>
    </row>
    <row r="13" customFormat="false" ht="27.75" hidden="false" customHeight="true" outlineLevel="0" collapsed="false">
      <c r="A13" s="16" t="n">
        <v>12</v>
      </c>
      <c r="B13" s="16" t="s">
        <v>1254</v>
      </c>
      <c r="C13" s="16" t="s">
        <v>1267</v>
      </c>
      <c r="D13" s="16" t="s">
        <v>312</v>
      </c>
      <c r="E13" s="16" t="s">
        <v>576</v>
      </c>
      <c r="F13" s="16"/>
      <c r="G13" s="16"/>
      <c r="H13" s="16" t="s">
        <v>1246</v>
      </c>
    </row>
    <row r="14" customFormat="false" ht="27.75" hidden="false" customHeight="true" outlineLevel="0" collapsed="false">
      <c r="A14" s="16" t="n">
        <v>13</v>
      </c>
      <c r="B14" s="16" t="s">
        <v>1268</v>
      </c>
      <c r="C14" s="16" t="s">
        <v>1269</v>
      </c>
      <c r="D14" s="16" t="s">
        <v>340</v>
      </c>
      <c r="E14" s="16" t="s">
        <v>576</v>
      </c>
      <c r="F14" s="16"/>
      <c r="G14" s="16"/>
      <c r="H14" s="16" t="s">
        <v>1246</v>
      </c>
    </row>
    <row r="15" customFormat="false" ht="27.75" hidden="false" customHeight="true" outlineLevel="0" collapsed="false">
      <c r="A15" s="16" t="n">
        <v>14</v>
      </c>
      <c r="B15" s="16" t="s">
        <v>1268</v>
      </c>
      <c r="C15" s="16" t="s">
        <v>1270</v>
      </c>
      <c r="D15" s="16" t="s">
        <v>312</v>
      </c>
      <c r="E15" s="16" t="s">
        <v>576</v>
      </c>
      <c r="F15" s="16" t="s">
        <v>1271</v>
      </c>
      <c r="G15" s="16" t="s">
        <v>1272</v>
      </c>
      <c r="H15" s="16" t="s">
        <v>1244</v>
      </c>
    </row>
    <row r="16" customFormat="false" ht="27.75" hidden="false" customHeight="true" outlineLevel="0" collapsed="false">
      <c r="A16" s="16" t="n">
        <v>15</v>
      </c>
      <c r="B16" s="16" t="s">
        <v>1273</v>
      </c>
      <c r="C16" s="16" t="s">
        <v>1274</v>
      </c>
      <c r="D16" s="16" t="s">
        <v>340</v>
      </c>
      <c r="E16" s="16" t="s">
        <v>576</v>
      </c>
      <c r="F16" s="16"/>
      <c r="G16" s="16"/>
      <c r="H16" s="16" t="s">
        <v>1246</v>
      </c>
    </row>
    <row r="17" customFormat="false" ht="27.75" hidden="false" customHeight="true" outlineLevel="0" collapsed="false">
      <c r="A17" s="16" t="n">
        <v>16</v>
      </c>
      <c r="B17" s="16" t="s">
        <v>1273</v>
      </c>
      <c r="C17" s="16" t="s">
        <v>1275</v>
      </c>
      <c r="D17" s="16" t="s">
        <v>340</v>
      </c>
      <c r="E17" s="16" t="s">
        <v>576</v>
      </c>
      <c r="F17" s="16"/>
      <c r="G17" s="16"/>
      <c r="H17" s="16" t="s">
        <v>1246</v>
      </c>
    </row>
    <row r="18" customFormat="false" ht="27.75" hidden="false" customHeight="true" outlineLevel="0" collapsed="false">
      <c r="A18" s="16" t="n">
        <v>17</v>
      </c>
      <c r="B18" s="16" t="s">
        <v>1273</v>
      </c>
      <c r="C18" s="16" t="s">
        <v>1276</v>
      </c>
      <c r="D18" s="16" t="s">
        <v>340</v>
      </c>
      <c r="E18" s="16" t="s">
        <v>576</v>
      </c>
      <c r="F18" s="16"/>
      <c r="G18" s="16"/>
      <c r="H18" s="16" t="s">
        <v>1246</v>
      </c>
    </row>
    <row r="19" customFormat="false" ht="27.75" hidden="false" customHeight="true" outlineLevel="0" collapsed="false">
      <c r="A19" s="16" t="n">
        <v>18</v>
      </c>
      <c r="B19" s="16" t="s">
        <v>1277</v>
      </c>
      <c r="C19" s="16" t="s">
        <v>1278</v>
      </c>
      <c r="D19" s="16" t="s">
        <v>312</v>
      </c>
      <c r="E19" s="16" t="s">
        <v>576</v>
      </c>
      <c r="F19" s="16" t="s">
        <v>1279</v>
      </c>
      <c r="G19" s="16" t="s">
        <v>1280</v>
      </c>
      <c r="H19" s="16" t="s">
        <v>1244</v>
      </c>
    </row>
    <row r="20" customFormat="false" ht="15" hidden="false" customHeight="true" outlineLevel="0" collapsed="false">
      <c r="A20" s="16" t="n">
        <v>19</v>
      </c>
      <c r="B20" s="16" t="s">
        <v>1281</v>
      </c>
      <c r="C20" s="16" t="s">
        <v>1282</v>
      </c>
      <c r="D20" s="16" t="s">
        <v>340</v>
      </c>
      <c r="E20" s="16" t="s">
        <v>576</v>
      </c>
      <c r="F20" s="16"/>
      <c r="G20" s="16"/>
      <c r="H20" s="16" t="s">
        <v>1246</v>
      </c>
    </row>
    <row r="21" customFormat="false" ht="27.75" hidden="false" customHeight="true" outlineLevel="0" collapsed="false">
      <c r="A21" s="16" t="n">
        <v>20</v>
      </c>
      <c r="B21" s="16" t="s">
        <v>1283</v>
      </c>
      <c r="C21" s="16" t="s">
        <v>1284</v>
      </c>
      <c r="D21" s="16" t="s">
        <v>340</v>
      </c>
      <c r="E21" s="16" t="s">
        <v>576</v>
      </c>
      <c r="F21" s="16"/>
      <c r="G21" s="16"/>
      <c r="H21" s="16" t="s">
        <v>1246</v>
      </c>
    </row>
    <row r="22" customFormat="false" ht="27.75" hidden="false" customHeight="true" outlineLevel="0" collapsed="false">
      <c r="A22" s="16" t="n">
        <v>21</v>
      </c>
      <c r="B22" s="16" t="s">
        <v>1283</v>
      </c>
      <c r="C22" s="16" t="s">
        <v>1285</v>
      </c>
      <c r="D22" s="16" t="s">
        <v>340</v>
      </c>
      <c r="E22" s="16" t="s">
        <v>576</v>
      </c>
      <c r="F22" s="16" t="s">
        <v>1286</v>
      </c>
      <c r="G22" s="16" t="s">
        <v>1287</v>
      </c>
      <c r="H22" s="16" t="s">
        <v>1288</v>
      </c>
    </row>
    <row r="23" customFormat="false" ht="27.75" hidden="false" customHeight="true" outlineLevel="0" collapsed="false">
      <c r="A23" s="16" t="n">
        <v>22</v>
      </c>
      <c r="B23" s="16" t="s">
        <v>1283</v>
      </c>
      <c r="C23" s="16" t="s">
        <v>1289</v>
      </c>
      <c r="D23" s="16" t="s">
        <v>340</v>
      </c>
      <c r="E23" s="16" t="s">
        <v>576</v>
      </c>
      <c r="F23" s="16" t="s">
        <v>1290</v>
      </c>
      <c r="G23" s="16"/>
      <c r="H23" s="16" t="s">
        <v>1244</v>
      </c>
    </row>
    <row r="24" customFormat="false" ht="27.75" hidden="false" customHeight="true" outlineLevel="0" collapsed="false">
      <c r="A24" s="16" t="n">
        <v>23</v>
      </c>
      <c r="B24" s="16" t="s">
        <v>1283</v>
      </c>
      <c r="C24" s="16" t="s">
        <v>1291</v>
      </c>
      <c r="D24" s="16" t="s">
        <v>340</v>
      </c>
      <c r="E24" s="16" t="s">
        <v>576</v>
      </c>
      <c r="F24" s="16" t="s">
        <v>1243</v>
      </c>
      <c r="G24" s="16"/>
      <c r="H24" s="16" t="s">
        <v>1244</v>
      </c>
    </row>
    <row r="25" customFormat="false" ht="27.75" hidden="false" customHeight="true" outlineLevel="0" collapsed="false">
      <c r="A25" s="16" t="n">
        <v>24</v>
      </c>
      <c r="B25" s="16" t="s">
        <v>1283</v>
      </c>
      <c r="C25" s="16" t="s">
        <v>1292</v>
      </c>
      <c r="D25" s="16" t="s">
        <v>340</v>
      </c>
      <c r="E25" s="16" t="s">
        <v>576</v>
      </c>
      <c r="F25" s="16" t="s">
        <v>1293</v>
      </c>
      <c r="G25" s="16" t="s">
        <v>1294</v>
      </c>
      <c r="H25" s="16" t="s">
        <v>1288</v>
      </c>
    </row>
    <row r="26" customFormat="false" ht="27.75" hidden="false" customHeight="true" outlineLevel="0" collapsed="false">
      <c r="A26" s="16" t="n">
        <v>25</v>
      </c>
      <c r="B26" s="16" t="s">
        <v>1295</v>
      </c>
      <c r="C26" s="16" t="s">
        <v>1296</v>
      </c>
      <c r="D26" s="16" t="s">
        <v>340</v>
      </c>
      <c r="E26" s="16" t="s">
        <v>576</v>
      </c>
      <c r="F26" s="16" t="s">
        <v>1286</v>
      </c>
      <c r="G26" s="16" t="s">
        <v>1287</v>
      </c>
      <c r="H26" s="16" t="s">
        <v>1288</v>
      </c>
    </row>
    <row r="27" customFormat="false" ht="27.75" hidden="false" customHeight="true" outlineLevel="0" collapsed="false">
      <c r="A27" s="16" t="n">
        <v>26</v>
      </c>
      <c r="B27" s="16" t="s">
        <v>1295</v>
      </c>
      <c r="C27" s="16" t="s">
        <v>1297</v>
      </c>
      <c r="D27" s="16" t="s">
        <v>340</v>
      </c>
      <c r="E27" s="16" t="s">
        <v>576</v>
      </c>
      <c r="F27" s="16"/>
      <c r="G27" s="16"/>
      <c r="H27" s="16" t="s">
        <v>1246</v>
      </c>
    </row>
    <row r="28" customFormat="false" ht="27.75" hidden="false" customHeight="true" outlineLevel="0" collapsed="false">
      <c r="A28" s="16" t="n">
        <v>27</v>
      </c>
      <c r="B28" s="16" t="s">
        <v>1295</v>
      </c>
      <c r="C28" s="16" t="s">
        <v>1298</v>
      </c>
      <c r="D28" s="16" t="s">
        <v>340</v>
      </c>
      <c r="E28" s="16" t="s">
        <v>576</v>
      </c>
      <c r="F28" s="16"/>
      <c r="G28" s="16"/>
      <c r="H28" s="16" t="s">
        <v>1246</v>
      </c>
    </row>
    <row r="29" customFormat="false" ht="27.75" hidden="false" customHeight="true" outlineLevel="0" collapsed="false">
      <c r="A29" s="16" t="n">
        <v>28</v>
      </c>
      <c r="B29" s="16" t="s">
        <v>1295</v>
      </c>
      <c r="C29" s="16" t="s">
        <v>1299</v>
      </c>
      <c r="D29" s="16" t="s">
        <v>340</v>
      </c>
      <c r="E29" s="16" t="s">
        <v>576</v>
      </c>
      <c r="F29" s="16"/>
      <c r="G29" s="16"/>
      <c r="H29" s="16" t="s">
        <v>1246</v>
      </c>
    </row>
    <row r="30" customFormat="false" ht="27.75" hidden="false" customHeight="true" outlineLevel="0" collapsed="false">
      <c r="A30" s="16" t="n">
        <v>29</v>
      </c>
      <c r="B30" s="16" t="s">
        <v>1295</v>
      </c>
      <c r="C30" s="16" t="s">
        <v>1300</v>
      </c>
      <c r="D30" s="16" t="s">
        <v>340</v>
      </c>
      <c r="E30" s="16" t="s">
        <v>576</v>
      </c>
      <c r="F30" s="16"/>
      <c r="G30" s="16"/>
      <c r="H30" s="16" t="s">
        <v>1246</v>
      </c>
    </row>
    <row r="31" customFormat="false" ht="27.75" hidden="false" customHeight="true" outlineLevel="0" collapsed="false">
      <c r="A31" s="16" t="n">
        <v>30</v>
      </c>
      <c r="B31" s="16" t="s">
        <v>1301</v>
      </c>
      <c r="C31" s="16" t="s">
        <v>1302</v>
      </c>
      <c r="D31" s="16" t="s">
        <v>340</v>
      </c>
      <c r="E31" s="16" t="s">
        <v>576</v>
      </c>
      <c r="F31" s="16"/>
      <c r="G31" s="16" t="s">
        <v>1303</v>
      </c>
      <c r="H31" s="16" t="s">
        <v>1288</v>
      </c>
    </row>
    <row r="32" customFormat="false" ht="27.75" hidden="false" customHeight="true" outlineLevel="0" collapsed="false">
      <c r="A32" s="16" t="n">
        <v>31</v>
      </c>
      <c r="B32" s="16" t="s">
        <v>1301</v>
      </c>
      <c r="C32" s="16" t="s">
        <v>1304</v>
      </c>
      <c r="D32" s="16" t="s">
        <v>340</v>
      </c>
      <c r="E32" s="16" t="s">
        <v>576</v>
      </c>
      <c r="F32" s="16"/>
      <c r="G32" s="16"/>
      <c r="H32" s="16" t="s">
        <v>1246</v>
      </c>
    </row>
    <row r="33" customFormat="false" ht="27.75" hidden="false" customHeight="true" outlineLevel="0" collapsed="false">
      <c r="A33" s="16" t="n">
        <v>32</v>
      </c>
      <c r="B33" s="16" t="s">
        <v>1301</v>
      </c>
      <c r="C33" s="16" t="s">
        <v>1305</v>
      </c>
      <c r="D33" s="16" t="s">
        <v>340</v>
      </c>
      <c r="E33" s="16" t="s">
        <v>576</v>
      </c>
      <c r="F33" s="16"/>
      <c r="G33" s="16"/>
      <c r="H33" s="16" t="s">
        <v>1246</v>
      </c>
    </row>
    <row r="34" customFormat="false" ht="42" hidden="false" customHeight="true" outlineLevel="0" collapsed="false">
      <c r="A34" s="16" t="n">
        <v>33</v>
      </c>
      <c r="B34" s="16" t="s">
        <v>1306</v>
      </c>
      <c r="C34" s="16" t="s">
        <v>1307</v>
      </c>
      <c r="D34" s="16" t="s">
        <v>340</v>
      </c>
      <c r="E34" s="16" t="s">
        <v>576</v>
      </c>
      <c r="F34" s="16"/>
      <c r="G34" s="16"/>
      <c r="H34" s="16" t="s">
        <v>1246</v>
      </c>
    </row>
    <row r="35" customFormat="false" ht="27.75" hidden="false" customHeight="true" outlineLevel="0" collapsed="false">
      <c r="A35" s="16" t="n">
        <v>34</v>
      </c>
      <c r="B35" s="16" t="s">
        <v>1308</v>
      </c>
      <c r="C35" s="16" t="s">
        <v>1309</v>
      </c>
      <c r="D35" s="16" t="s">
        <v>340</v>
      </c>
      <c r="E35" s="16" t="s">
        <v>576</v>
      </c>
      <c r="F35" s="16" t="s">
        <v>1310</v>
      </c>
      <c r="G35" s="16"/>
      <c r="H35" s="16" t="s">
        <v>1244</v>
      </c>
    </row>
    <row r="36" customFormat="false" ht="27.75" hidden="false" customHeight="true" outlineLevel="0" collapsed="false">
      <c r="A36" s="16" t="n">
        <v>35</v>
      </c>
      <c r="B36" s="16" t="s">
        <v>1308</v>
      </c>
      <c r="C36" s="16" t="s">
        <v>1311</v>
      </c>
      <c r="D36" s="16" t="s">
        <v>340</v>
      </c>
      <c r="E36" s="16" t="s">
        <v>576</v>
      </c>
      <c r="F36" s="16"/>
      <c r="G36" s="16"/>
      <c r="H36" s="16" t="s">
        <v>1246</v>
      </c>
    </row>
    <row r="37" customFormat="false" ht="27.75" hidden="false" customHeight="true" outlineLevel="0" collapsed="false">
      <c r="A37" s="16" t="n">
        <v>36</v>
      </c>
      <c r="B37" s="16" t="s">
        <v>1308</v>
      </c>
      <c r="C37" s="16" t="s">
        <v>1312</v>
      </c>
      <c r="D37" s="16" t="s">
        <v>340</v>
      </c>
      <c r="E37" s="16" t="s">
        <v>576</v>
      </c>
      <c r="F37" s="16"/>
      <c r="G37" s="16"/>
      <c r="H37" s="16" t="s">
        <v>1246</v>
      </c>
    </row>
    <row r="38" customFormat="false" ht="27.75" hidden="false" customHeight="true" outlineLevel="0" collapsed="false">
      <c r="A38" s="16" t="n">
        <v>37</v>
      </c>
      <c r="B38" s="16" t="s">
        <v>1313</v>
      </c>
      <c r="C38" s="16" t="s">
        <v>1314</v>
      </c>
      <c r="D38" s="16" t="s">
        <v>340</v>
      </c>
      <c r="E38" s="16" t="s">
        <v>576</v>
      </c>
      <c r="F38" s="16"/>
      <c r="G38" s="16" t="s">
        <v>1315</v>
      </c>
      <c r="H38" s="16" t="s">
        <v>1288</v>
      </c>
    </row>
    <row r="39" customFormat="false" ht="27.75" hidden="false" customHeight="true" outlineLevel="0" collapsed="false">
      <c r="A39" s="16" t="n">
        <v>38</v>
      </c>
      <c r="B39" s="16" t="s">
        <v>1313</v>
      </c>
      <c r="C39" s="16" t="s">
        <v>1316</v>
      </c>
      <c r="D39" s="16" t="s">
        <v>340</v>
      </c>
      <c r="E39" s="16" t="s">
        <v>576</v>
      </c>
      <c r="F39" s="16" t="s">
        <v>1317</v>
      </c>
      <c r="G39" s="16" t="s">
        <v>1318</v>
      </c>
      <c r="H39" s="16" t="s">
        <v>1288</v>
      </c>
    </row>
    <row r="40" customFormat="false" ht="27.75" hidden="false" customHeight="true" outlineLevel="0" collapsed="false">
      <c r="A40" s="16" t="n">
        <v>39</v>
      </c>
      <c r="B40" s="16" t="s">
        <v>1313</v>
      </c>
      <c r="C40" s="16" t="s">
        <v>1319</v>
      </c>
      <c r="D40" s="16" t="s">
        <v>340</v>
      </c>
      <c r="E40" s="16" t="s">
        <v>576</v>
      </c>
      <c r="F40" s="16" t="s">
        <v>1320</v>
      </c>
      <c r="G40" s="16" t="s">
        <v>1321</v>
      </c>
      <c r="H40" s="16" t="s">
        <v>1244</v>
      </c>
    </row>
    <row r="41" customFormat="false" ht="27.75" hidden="false" customHeight="true" outlineLevel="0" collapsed="false">
      <c r="A41" s="16" t="n">
        <v>40</v>
      </c>
      <c r="B41" s="16" t="s">
        <v>1313</v>
      </c>
      <c r="C41" s="16" t="s">
        <v>1322</v>
      </c>
      <c r="D41" s="16" t="s">
        <v>340</v>
      </c>
      <c r="E41" s="16" t="s">
        <v>576</v>
      </c>
      <c r="F41" s="16" t="s">
        <v>1323</v>
      </c>
      <c r="G41" s="16" t="s">
        <v>1324</v>
      </c>
      <c r="H41" s="16" t="s">
        <v>1244</v>
      </c>
    </row>
    <row r="42" customFormat="false" ht="27.75" hidden="false" customHeight="true" outlineLevel="0" collapsed="false">
      <c r="A42" s="16" t="n">
        <v>41</v>
      </c>
      <c r="B42" s="16" t="s">
        <v>1325</v>
      </c>
      <c r="C42" s="16" t="s">
        <v>1326</v>
      </c>
      <c r="D42" s="16" t="s">
        <v>336</v>
      </c>
      <c r="E42" s="16" t="s">
        <v>576</v>
      </c>
      <c r="F42" s="16" t="s">
        <v>1327</v>
      </c>
      <c r="G42" s="16" t="s">
        <v>1328</v>
      </c>
      <c r="H42" s="16" t="s">
        <v>1244</v>
      </c>
    </row>
    <row r="43" customFormat="false" ht="27.75" hidden="false" customHeight="true" outlineLevel="0" collapsed="false">
      <c r="A43" s="16" t="n">
        <v>42</v>
      </c>
      <c r="B43" s="16" t="s">
        <v>1325</v>
      </c>
      <c r="C43" s="16" t="s">
        <v>1329</v>
      </c>
      <c r="D43" s="16" t="s">
        <v>336</v>
      </c>
      <c r="E43" s="16" t="s">
        <v>576</v>
      </c>
      <c r="F43" s="16" t="s">
        <v>1330</v>
      </c>
      <c r="G43" s="16" t="s">
        <v>1331</v>
      </c>
      <c r="H43" s="16" t="s">
        <v>1244</v>
      </c>
    </row>
    <row r="44" customFormat="false" ht="27.75" hidden="false" customHeight="true" outlineLevel="0" collapsed="false">
      <c r="A44" s="16" t="n">
        <v>43</v>
      </c>
      <c r="B44" s="16" t="s">
        <v>1325</v>
      </c>
      <c r="C44" s="16" t="s">
        <v>1332</v>
      </c>
      <c r="D44" s="16" t="s">
        <v>336</v>
      </c>
      <c r="E44" s="16" t="s">
        <v>576</v>
      </c>
      <c r="F44" s="16" t="s">
        <v>1333</v>
      </c>
      <c r="G44" s="16" t="s">
        <v>1334</v>
      </c>
      <c r="H44" s="16" t="s">
        <v>1244</v>
      </c>
    </row>
    <row r="45" customFormat="false" ht="27.75" hidden="false" customHeight="true" outlineLevel="0" collapsed="false">
      <c r="A45" s="16" t="n">
        <v>44</v>
      </c>
      <c r="B45" s="16" t="s">
        <v>1325</v>
      </c>
      <c r="C45" s="16" t="s">
        <v>1335</v>
      </c>
      <c r="D45" s="16" t="s">
        <v>336</v>
      </c>
      <c r="E45" s="16" t="s">
        <v>576</v>
      </c>
      <c r="F45" s="16" t="s">
        <v>1336</v>
      </c>
      <c r="G45" s="16" t="s">
        <v>1337</v>
      </c>
      <c r="H45" s="16" t="s">
        <v>1244</v>
      </c>
    </row>
    <row r="46" customFormat="false" ht="27.75" hidden="false" customHeight="true" outlineLevel="0" collapsed="false">
      <c r="A46" s="16" t="n">
        <v>45</v>
      </c>
      <c r="B46" s="16" t="s">
        <v>1325</v>
      </c>
      <c r="C46" s="16" t="s">
        <v>1338</v>
      </c>
      <c r="D46" s="16" t="s">
        <v>336</v>
      </c>
      <c r="E46" s="16" t="s">
        <v>576</v>
      </c>
      <c r="F46" s="16"/>
      <c r="G46" s="16"/>
      <c r="H46" s="16" t="s">
        <v>1246</v>
      </c>
    </row>
    <row r="47" customFormat="false" ht="27.75" hidden="false" customHeight="true" outlineLevel="0" collapsed="false">
      <c r="A47" s="16" t="n">
        <v>46</v>
      </c>
      <c r="B47" s="16" t="s">
        <v>1325</v>
      </c>
      <c r="C47" s="16" t="s">
        <v>1339</v>
      </c>
      <c r="D47" s="16" t="s">
        <v>336</v>
      </c>
      <c r="E47" s="16" t="s">
        <v>576</v>
      </c>
      <c r="F47" s="16"/>
      <c r="G47" s="16"/>
      <c r="H47" s="16" t="s">
        <v>1246</v>
      </c>
    </row>
    <row r="48" customFormat="false" ht="55.5" hidden="false" customHeight="true" outlineLevel="0" collapsed="false">
      <c r="A48" s="16" t="n">
        <v>47</v>
      </c>
      <c r="B48" s="16" t="s">
        <v>1325</v>
      </c>
      <c r="C48" s="16" t="s">
        <v>1340</v>
      </c>
      <c r="D48" s="16" t="s">
        <v>336</v>
      </c>
      <c r="E48" s="16" t="s">
        <v>576</v>
      </c>
      <c r="F48" s="16" t="s">
        <v>1341</v>
      </c>
      <c r="G48" s="16" t="s">
        <v>1342</v>
      </c>
      <c r="H48" s="16" t="s">
        <v>1244</v>
      </c>
    </row>
    <row r="49" customFormat="false" ht="27.75" hidden="false" customHeight="true" outlineLevel="0" collapsed="false">
      <c r="A49" s="16" t="n">
        <v>48</v>
      </c>
      <c r="B49" s="16" t="s">
        <v>1343</v>
      </c>
      <c r="C49" s="16" t="s">
        <v>1344</v>
      </c>
      <c r="D49" s="16" t="s">
        <v>336</v>
      </c>
      <c r="E49" s="16" t="s">
        <v>576</v>
      </c>
      <c r="F49" s="16" t="s">
        <v>1345</v>
      </c>
      <c r="G49" s="16" t="s">
        <v>1346</v>
      </c>
      <c r="H49" s="16" t="s">
        <v>1244</v>
      </c>
    </row>
    <row r="50" customFormat="false" ht="27.75" hidden="false" customHeight="true" outlineLevel="0" collapsed="false">
      <c r="A50" s="16" t="n">
        <v>49</v>
      </c>
      <c r="B50" s="16" t="s">
        <v>1343</v>
      </c>
      <c r="C50" s="16" t="s">
        <v>1347</v>
      </c>
      <c r="D50" s="16" t="s">
        <v>336</v>
      </c>
      <c r="E50" s="16" t="s">
        <v>576</v>
      </c>
      <c r="F50" s="16" t="s">
        <v>1348</v>
      </c>
      <c r="G50" s="16" t="s">
        <v>1349</v>
      </c>
      <c r="H50" s="16" t="s">
        <v>1244</v>
      </c>
    </row>
    <row r="51" customFormat="false" ht="27.75" hidden="false" customHeight="true" outlineLevel="0" collapsed="false">
      <c r="A51" s="16" t="n">
        <v>50</v>
      </c>
      <c r="B51" s="16" t="s">
        <v>1350</v>
      </c>
      <c r="C51" s="16" t="s">
        <v>1351</v>
      </c>
      <c r="D51" s="16" t="s">
        <v>336</v>
      </c>
      <c r="E51" s="16" t="s">
        <v>576</v>
      </c>
      <c r="F51" s="16"/>
      <c r="G51" s="16"/>
      <c r="H51" s="16" t="s">
        <v>1246</v>
      </c>
    </row>
    <row r="52" customFormat="false" ht="27.75" hidden="false" customHeight="true" outlineLevel="0" collapsed="false">
      <c r="A52" s="16" t="n">
        <v>51</v>
      </c>
      <c r="B52" s="16" t="s">
        <v>1350</v>
      </c>
      <c r="C52" s="16" t="s">
        <v>1352</v>
      </c>
      <c r="D52" s="16" t="s">
        <v>336</v>
      </c>
      <c r="E52" s="16" t="s">
        <v>576</v>
      </c>
      <c r="F52" s="16"/>
      <c r="G52" s="16"/>
      <c r="H52" s="16" t="s">
        <v>1246</v>
      </c>
    </row>
    <row r="53" customFormat="false" ht="27.75" hidden="false" customHeight="true" outlineLevel="0" collapsed="false">
      <c r="A53" s="16" t="n">
        <v>52</v>
      </c>
      <c r="B53" s="16" t="s">
        <v>1353</v>
      </c>
      <c r="C53" s="16" t="s">
        <v>1354</v>
      </c>
      <c r="D53" s="16" t="s">
        <v>324</v>
      </c>
      <c r="E53" s="16" t="s">
        <v>577</v>
      </c>
      <c r="F53" s="16" t="s">
        <v>1355</v>
      </c>
      <c r="G53" s="16"/>
      <c r="H53" s="16" t="s">
        <v>1244</v>
      </c>
    </row>
    <row r="54" customFormat="false" ht="27.75" hidden="false" customHeight="true" outlineLevel="0" collapsed="false">
      <c r="A54" s="16" t="n">
        <v>53</v>
      </c>
      <c r="B54" s="16" t="s">
        <v>1356</v>
      </c>
      <c r="C54" s="16" t="s">
        <v>1357</v>
      </c>
      <c r="D54" s="16" t="s">
        <v>296</v>
      </c>
      <c r="E54" s="16" t="s">
        <v>576</v>
      </c>
      <c r="F54" s="16" t="s">
        <v>1358</v>
      </c>
      <c r="G54" s="16" t="s">
        <v>1359</v>
      </c>
      <c r="H54" s="16" t="s">
        <v>1244</v>
      </c>
    </row>
    <row r="55" customFormat="false" ht="27.75" hidden="false" customHeight="true" outlineLevel="0" collapsed="false">
      <c r="A55" s="16" t="n">
        <v>54</v>
      </c>
      <c r="B55" s="16" t="s">
        <v>1356</v>
      </c>
      <c r="C55" s="16" t="s">
        <v>1360</v>
      </c>
      <c r="D55" s="16" t="s">
        <v>296</v>
      </c>
      <c r="E55" s="16" t="s">
        <v>576</v>
      </c>
      <c r="F55" s="16" t="s">
        <v>1361</v>
      </c>
      <c r="G55" s="16"/>
      <c r="H55" s="16" t="s">
        <v>1244</v>
      </c>
    </row>
    <row r="56" customFormat="false" ht="27.75" hidden="false" customHeight="true" outlineLevel="0" collapsed="false">
      <c r="A56" s="16" t="n">
        <v>55</v>
      </c>
      <c r="B56" s="16" t="s">
        <v>1362</v>
      </c>
      <c r="C56" s="16" t="s">
        <v>1363</v>
      </c>
      <c r="D56" s="16" t="s">
        <v>271</v>
      </c>
      <c r="E56" s="16" t="s">
        <v>576</v>
      </c>
      <c r="F56" s="16" t="s">
        <v>1364</v>
      </c>
      <c r="G56" s="16"/>
      <c r="H56" s="16" t="s">
        <v>1244</v>
      </c>
    </row>
    <row r="57" customFormat="false" ht="15" hidden="false" customHeight="true" outlineLevel="0" collapsed="false">
      <c r="A57" s="16" t="n">
        <v>56</v>
      </c>
      <c r="B57" s="16" t="s">
        <v>1365</v>
      </c>
      <c r="C57" s="16" t="s">
        <v>1366</v>
      </c>
      <c r="D57" s="16" t="s">
        <v>340</v>
      </c>
      <c r="E57" s="16" t="s">
        <v>576</v>
      </c>
      <c r="F57" s="16"/>
      <c r="G57" s="16"/>
      <c r="H57" s="16" t="s">
        <v>1246</v>
      </c>
    </row>
    <row r="58" customFormat="false" ht="27.75" hidden="false" customHeight="true" outlineLevel="0" collapsed="false">
      <c r="A58" s="16" t="n">
        <v>57</v>
      </c>
      <c r="B58" s="16" t="s">
        <v>1365</v>
      </c>
      <c r="C58" s="16" t="s">
        <v>1367</v>
      </c>
      <c r="D58" s="16" t="s">
        <v>263</v>
      </c>
      <c r="E58" s="16" t="s">
        <v>576</v>
      </c>
      <c r="F58" s="16" t="s">
        <v>1368</v>
      </c>
      <c r="G58" s="16" t="s">
        <v>1369</v>
      </c>
      <c r="H58" s="16" t="s">
        <v>1288</v>
      </c>
    </row>
    <row r="59" customFormat="false" ht="15" hidden="false" customHeight="true" outlineLevel="0" collapsed="false">
      <c r="A59" s="16" t="n">
        <v>58</v>
      </c>
      <c r="B59" s="16" t="s">
        <v>1365</v>
      </c>
      <c r="C59" s="16" t="s">
        <v>1370</v>
      </c>
      <c r="D59" s="16" t="s">
        <v>340</v>
      </c>
      <c r="E59" s="16" t="s">
        <v>576</v>
      </c>
      <c r="F59" s="16"/>
      <c r="G59" s="16"/>
      <c r="H59" s="16" t="s">
        <v>1246</v>
      </c>
    </row>
    <row r="60" customFormat="false" ht="27.75" hidden="false" customHeight="true" outlineLevel="0" collapsed="false">
      <c r="A60" s="16" t="n">
        <v>59</v>
      </c>
      <c r="B60" s="16" t="s">
        <v>1365</v>
      </c>
      <c r="C60" s="16" t="s">
        <v>1371</v>
      </c>
      <c r="D60" s="16" t="s">
        <v>340</v>
      </c>
      <c r="E60" s="16" t="s">
        <v>576</v>
      </c>
      <c r="F60" s="16"/>
      <c r="G60" s="16"/>
      <c r="H60" s="16" t="s">
        <v>1246</v>
      </c>
    </row>
    <row r="61" customFormat="false" ht="27.75" hidden="false" customHeight="true" outlineLevel="0" collapsed="false">
      <c r="A61" s="16" t="n">
        <v>60</v>
      </c>
      <c r="B61" s="16" t="s">
        <v>1372</v>
      </c>
      <c r="C61" s="16" t="s">
        <v>1373</v>
      </c>
      <c r="D61" s="16" t="s">
        <v>263</v>
      </c>
      <c r="E61" s="16" t="s">
        <v>576</v>
      </c>
      <c r="F61" s="16" t="s">
        <v>1374</v>
      </c>
      <c r="G61" s="16"/>
      <c r="H61" s="16" t="s">
        <v>1244</v>
      </c>
    </row>
    <row r="62" customFormat="false" ht="27.75" hidden="false" customHeight="true" outlineLevel="0" collapsed="false">
      <c r="A62" s="16" t="n">
        <v>61</v>
      </c>
      <c r="B62" s="16" t="s">
        <v>1375</v>
      </c>
      <c r="C62" s="16" t="s">
        <v>1376</v>
      </c>
      <c r="D62" s="16" t="s">
        <v>389</v>
      </c>
      <c r="E62" s="16" t="s">
        <v>585</v>
      </c>
      <c r="F62" s="16"/>
      <c r="G62" s="16"/>
      <c r="H62" s="16" t="s">
        <v>1246</v>
      </c>
    </row>
    <row r="63" customFormat="false" ht="27.75" hidden="false" customHeight="true" outlineLevel="0" collapsed="false">
      <c r="A63" s="16" t="n">
        <v>62</v>
      </c>
      <c r="B63" s="16" t="s">
        <v>1375</v>
      </c>
      <c r="C63" s="16" t="s">
        <v>1377</v>
      </c>
      <c r="D63" s="16" t="s">
        <v>271</v>
      </c>
      <c r="E63" s="16" t="s">
        <v>576</v>
      </c>
      <c r="F63" s="16" t="s">
        <v>1378</v>
      </c>
      <c r="G63" s="16"/>
      <c r="H63" s="16" t="s">
        <v>1244</v>
      </c>
    </row>
    <row r="64" customFormat="false" ht="27.75" hidden="false" customHeight="true" outlineLevel="0" collapsed="false">
      <c r="A64" s="16" t="n">
        <v>63</v>
      </c>
      <c r="B64" s="16" t="s">
        <v>1375</v>
      </c>
      <c r="C64" s="16" t="s">
        <v>1379</v>
      </c>
      <c r="D64" s="16" t="s">
        <v>389</v>
      </c>
      <c r="E64" s="16" t="s">
        <v>585</v>
      </c>
      <c r="F64" s="16"/>
      <c r="G64" s="16"/>
      <c r="H64" s="16" t="s">
        <v>1246</v>
      </c>
    </row>
    <row r="65" customFormat="false" ht="27.75" hidden="false" customHeight="true" outlineLevel="0" collapsed="false">
      <c r="A65" s="16" t="n">
        <v>64</v>
      </c>
      <c r="B65" s="16" t="s">
        <v>1375</v>
      </c>
      <c r="C65" s="16" t="s">
        <v>1380</v>
      </c>
      <c r="D65" s="16" t="s">
        <v>312</v>
      </c>
      <c r="E65" s="16" t="s">
        <v>576</v>
      </c>
      <c r="F65" s="16" t="s">
        <v>1381</v>
      </c>
      <c r="G65" s="16" t="s">
        <v>1382</v>
      </c>
      <c r="H65" s="16" t="s">
        <v>1244</v>
      </c>
    </row>
    <row r="67" customFormat="false" ht="15" hidden="false" customHeight="true" outlineLevel="0" collapsed="false">
      <c r="A67" s="23" t="s">
        <v>1383</v>
      </c>
    </row>
  </sheetData>
  <autoFilter ref="A1:H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22"/>
    <col collapsed="false" customWidth="true" hidden="false" outlineLevel="0" max="4" min="4" style="1" width="16"/>
    <col collapsed="false" customWidth="true" hidden="false" outlineLevel="0" max="5" min="5" style="1" width="26"/>
    <col collapsed="false" customWidth="true" hidden="false" outlineLevel="0" max="6" min="6" style="1" width="70"/>
    <col collapsed="false" customWidth="true" hidden="false" outlineLevel="0" max="7" min="7" style="1" width="12"/>
    <col collapsed="false" customWidth="true" hidden="false" outlineLevel="0" max="8" min="8" style="1" width="10"/>
    <col collapsed="false" customWidth="true" hidden="false" outlineLevel="0" max="9" min="9" style="1" width="22"/>
  </cols>
  <sheetData>
    <row r="1" customFormat="false" ht="15" hidden="false" customHeight="true" outlineLevel="0" collapsed="false">
      <c r="A1" s="14" t="s">
        <v>1234</v>
      </c>
      <c r="B1" s="14" t="s">
        <v>1384</v>
      </c>
      <c r="C1" s="14" t="s">
        <v>1385</v>
      </c>
      <c r="D1" s="14" t="s">
        <v>1386</v>
      </c>
      <c r="E1" s="14" t="s">
        <v>1235</v>
      </c>
      <c r="F1" s="14" t="s">
        <v>1387</v>
      </c>
      <c r="G1" s="14" t="s">
        <v>1237</v>
      </c>
      <c r="H1" s="14" t="s">
        <v>1101</v>
      </c>
      <c r="I1" s="14" t="s">
        <v>1240</v>
      </c>
    </row>
    <row r="2" customFormat="false" ht="15" hidden="false" customHeight="true" outlineLevel="0" collapsed="false">
      <c r="A2" s="16" t="n">
        <v>1</v>
      </c>
      <c r="B2" s="24" t="n">
        <v>46308</v>
      </c>
      <c r="C2" s="16" t="s">
        <v>615</v>
      </c>
      <c r="D2" s="16" t="s">
        <v>1388</v>
      </c>
      <c r="E2" s="16" t="s">
        <v>1389</v>
      </c>
      <c r="F2" s="16" t="s">
        <v>1390</v>
      </c>
      <c r="G2" s="16" t="s">
        <v>271</v>
      </c>
      <c r="H2" s="16" t="s">
        <v>576</v>
      </c>
      <c r="I2" s="16" t="s">
        <v>1391</v>
      </c>
    </row>
    <row r="3" customFormat="false" ht="34.5" hidden="false" customHeight="true" outlineLevel="0" collapsed="false">
      <c r="A3" s="16" t="n">
        <v>2</v>
      </c>
      <c r="B3" s="24" t="n">
        <v>46309</v>
      </c>
      <c r="C3" s="16" t="s">
        <v>1073</v>
      </c>
      <c r="D3" s="16" t="s">
        <v>1392</v>
      </c>
      <c r="E3" s="16" t="s">
        <v>1159</v>
      </c>
      <c r="F3" s="16" t="s">
        <v>1393</v>
      </c>
      <c r="G3" s="16" t="s">
        <v>324</v>
      </c>
      <c r="H3" s="16" t="s">
        <v>577</v>
      </c>
      <c r="I3" s="16" t="s">
        <v>1394</v>
      </c>
    </row>
    <row r="4" customFormat="false" ht="23.25" hidden="false" customHeight="true" outlineLevel="0" collapsed="false">
      <c r="A4" s="16" t="n">
        <v>3</v>
      </c>
      <c r="B4" s="24" t="n">
        <v>46310</v>
      </c>
      <c r="C4" s="16" t="s">
        <v>1073</v>
      </c>
      <c r="D4" s="16" t="s">
        <v>1395</v>
      </c>
      <c r="E4" s="16" t="s">
        <v>1159</v>
      </c>
      <c r="F4" s="16" t="s">
        <v>1396</v>
      </c>
      <c r="G4" s="16" t="s">
        <v>1397</v>
      </c>
      <c r="H4" s="16" t="s">
        <v>1398</v>
      </c>
      <c r="I4" s="16" t="s">
        <v>1399</v>
      </c>
    </row>
    <row r="5" customFormat="false" ht="23.25" hidden="false" customHeight="true" outlineLevel="0" collapsed="false">
      <c r="A5" s="16" t="n">
        <v>4</v>
      </c>
      <c r="B5" s="24" t="n">
        <v>46310</v>
      </c>
      <c r="C5" s="16" t="s">
        <v>615</v>
      </c>
      <c r="D5" s="16" t="s">
        <v>1400</v>
      </c>
      <c r="E5" s="16" t="s">
        <v>1401</v>
      </c>
      <c r="F5" s="16" t="s">
        <v>1402</v>
      </c>
      <c r="G5" s="16" t="s">
        <v>162</v>
      </c>
      <c r="H5" s="16" t="s">
        <v>576</v>
      </c>
      <c r="I5" s="16" t="s">
        <v>1403</v>
      </c>
    </row>
    <row r="6" customFormat="false" ht="15" hidden="false" customHeight="true" outlineLevel="0" collapsed="false">
      <c r="A6" s="16" t="n">
        <v>5</v>
      </c>
      <c r="B6" s="24" t="n">
        <v>46311</v>
      </c>
      <c r="C6" s="16" t="s">
        <v>615</v>
      </c>
      <c r="D6" s="16" t="s">
        <v>1404</v>
      </c>
      <c r="E6" s="16" t="s">
        <v>1401</v>
      </c>
      <c r="F6" s="16" t="s">
        <v>1405</v>
      </c>
      <c r="G6" s="16" t="s">
        <v>162</v>
      </c>
      <c r="H6" s="16" t="s">
        <v>576</v>
      </c>
      <c r="I6" s="16" t="s">
        <v>1403</v>
      </c>
    </row>
    <row r="7" customFormat="false" ht="15" hidden="false" customHeight="true" outlineLevel="0" collapsed="false">
      <c r="A7" s="16" t="n">
        <v>6</v>
      </c>
      <c r="B7" s="24" t="n">
        <v>46311</v>
      </c>
      <c r="C7" s="16" t="s">
        <v>615</v>
      </c>
      <c r="D7" s="16" t="s">
        <v>1406</v>
      </c>
      <c r="E7" s="16" t="s">
        <v>1401</v>
      </c>
      <c r="F7" s="16" t="s">
        <v>1407</v>
      </c>
      <c r="G7" s="16" t="s">
        <v>162</v>
      </c>
      <c r="H7" s="16" t="s">
        <v>576</v>
      </c>
      <c r="I7" s="16" t="s">
        <v>1403</v>
      </c>
    </row>
    <row r="8" customFormat="false" ht="15" hidden="false" customHeight="true" outlineLevel="0" collapsed="false">
      <c r="A8" s="16" t="n">
        <v>7</v>
      </c>
      <c r="B8" s="24" t="n">
        <v>46314</v>
      </c>
      <c r="C8" s="16" t="s">
        <v>615</v>
      </c>
      <c r="D8" s="16" t="s">
        <v>1408</v>
      </c>
      <c r="E8" s="16" t="s">
        <v>1389</v>
      </c>
      <c r="F8" s="16" t="s">
        <v>1409</v>
      </c>
      <c r="G8" s="16" t="s">
        <v>1410</v>
      </c>
      <c r="H8" s="16" t="s">
        <v>576</v>
      </c>
      <c r="I8" s="16" t="s">
        <v>1391</v>
      </c>
    </row>
    <row r="9" customFormat="false" ht="23.25" hidden="false" customHeight="true" outlineLevel="0" collapsed="false">
      <c r="A9" s="16" t="n">
        <v>8</v>
      </c>
      <c r="B9" s="24" t="n">
        <v>46314</v>
      </c>
      <c r="C9" s="16" t="s">
        <v>1079</v>
      </c>
      <c r="D9" s="16" t="s">
        <v>1411</v>
      </c>
      <c r="E9" s="16" t="s">
        <v>1215</v>
      </c>
      <c r="F9" s="16" t="s">
        <v>1412</v>
      </c>
      <c r="G9" s="16" t="s">
        <v>336</v>
      </c>
      <c r="H9" s="16" t="s">
        <v>576</v>
      </c>
      <c r="I9" s="16" t="s">
        <v>1413</v>
      </c>
    </row>
    <row r="10" customFormat="false" ht="15" hidden="false" customHeight="true" outlineLevel="0" collapsed="false">
      <c r="A10" s="16" t="n">
        <v>9</v>
      </c>
      <c r="B10" s="24" t="n">
        <v>46315</v>
      </c>
      <c r="C10" s="16" t="s">
        <v>1084</v>
      </c>
      <c r="D10" s="16" t="s">
        <v>1414</v>
      </c>
      <c r="E10" s="16" t="s">
        <v>1215</v>
      </c>
      <c r="F10" s="16" t="s">
        <v>1415</v>
      </c>
      <c r="G10" s="16" t="s">
        <v>336</v>
      </c>
      <c r="H10" s="16" t="s">
        <v>576</v>
      </c>
      <c r="I10" s="16" t="s">
        <v>1413</v>
      </c>
    </row>
    <row r="11" customFormat="false" ht="15" hidden="false" customHeight="true" outlineLevel="0" collapsed="false">
      <c r="A11" s="16" t="n">
        <v>10</v>
      </c>
      <c r="B11" s="24" t="n">
        <v>46315</v>
      </c>
      <c r="C11" s="16" t="s">
        <v>1084</v>
      </c>
      <c r="D11" s="16" t="s">
        <v>1416</v>
      </c>
      <c r="E11" s="16" t="s">
        <v>1215</v>
      </c>
      <c r="F11" s="16" t="s">
        <v>1417</v>
      </c>
      <c r="G11" s="16" t="s">
        <v>1418</v>
      </c>
      <c r="H11" s="16" t="s">
        <v>576</v>
      </c>
      <c r="I11" s="16" t="s">
        <v>1399</v>
      </c>
    </row>
    <row r="12" customFormat="false" ht="15" hidden="false" customHeight="true" outlineLevel="0" collapsed="false">
      <c r="A12" s="16" t="n">
        <v>11</v>
      </c>
      <c r="B12" s="24" t="n">
        <v>46315</v>
      </c>
      <c r="C12" s="16" t="s">
        <v>615</v>
      </c>
      <c r="D12" s="16" t="s">
        <v>1419</v>
      </c>
      <c r="E12" s="16" t="s">
        <v>1401</v>
      </c>
      <c r="F12" s="16" t="s">
        <v>1405</v>
      </c>
      <c r="G12" s="16" t="s">
        <v>162</v>
      </c>
      <c r="H12" s="16" t="s">
        <v>576</v>
      </c>
      <c r="I12" s="16" t="s">
        <v>1403</v>
      </c>
    </row>
    <row r="13" customFormat="false" ht="15" hidden="false" customHeight="true" outlineLevel="0" collapsed="false">
      <c r="A13" s="16" t="n">
        <v>12</v>
      </c>
      <c r="B13" s="24" t="n">
        <v>46315</v>
      </c>
      <c r="C13" s="16" t="s">
        <v>615</v>
      </c>
      <c r="D13" s="16" t="s">
        <v>1420</v>
      </c>
      <c r="E13" s="16" t="s">
        <v>1401</v>
      </c>
      <c r="F13" s="16" t="s">
        <v>1421</v>
      </c>
      <c r="G13" s="16" t="s">
        <v>162</v>
      </c>
      <c r="H13" s="16" t="s">
        <v>576</v>
      </c>
      <c r="I13" s="16" t="s">
        <v>1403</v>
      </c>
    </row>
    <row r="14" customFormat="false" ht="15" hidden="false" customHeight="true" outlineLevel="0" collapsed="false">
      <c r="A14" s="16" t="n">
        <v>13</v>
      </c>
      <c r="B14" s="24" t="n">
        <v>46315</v>
      </c>
      <c r="C14" s="16" t="s">
        <v>1084</v>
      </c>
      <c r="D14" s="16" t="s">
        <v>1422</v>
      </c>
      <c r="E14" s="16" t="s">
        <v>1423</v>
      </c>
      <c r="F14" s="16" t="s">
        <v>1424</v>
      </c>
      <c r="G14" s="16" t="s">
        <v>340</v>
      </c>
      <c r="H14" s="16" t="s">
        <v>576</v>
      </c>
      <c r="I14" s="16" t="s">
        <v>1394</v>
      </c>
    </row>
    <row r="15" customFormat="false" ht="15" hidden="false" customHeight="true" outlineLevel="0" collapsed="false">
      <c r="A15" s="16" t="n">
        <v>14</v>
      </c>
      <c r="B15" s="24" t="n">
        <v>46315</v>
      </c>
      <c r="C15" s="16" t="s">
        <v>1084</v>
      </c>
      <c r="D15" s="16" t="s">
        <v>1425</v>
      </c>
      <c r="E15" s="16" t="s">
        <v>1423</v>
      </c>
      <c r="F15" s="16" t="s">
        <v>1426</v>
      </c>
      <c r="G15" s="16" t="s">
        <v>340</v>
      </c>
      <c r="H15" s="16" t="s">
        <v>576</v>
      </c>
      <c r="I15" s="16" t="s">
        <v>1427</v>
      </c>
    </row>
    <row r="16" customFormat="false" ht="15" hidden="false" customHeight="true" outlineLevel="0" collapsed="false">
      <c r="A16" s="16" t="n">
        <v>15</v>
      </c>
      <c r="B16" s="24" t="n">
        <v>46315</v>
      </c>
      <c r="C16" s="16" t="s">
        <v>1084</v>
      </c>
      <c r="D16" s="16" t="s">
        <v>1428</v>
      </c>
      <c r="E16" s="16" t="s">
        <v>1423</v>
      </c>
      <c r="F16" s="16" t="s">
        <v>1429</v>
      </c>
      <c r="G16" s="16" t="s">
        <v>340</v>
      </c>
      <c r="H16" s="16" t="s">
        <v>576</v>
      </c>
      <c r="I16" s="16" t="s">
        <v>1427</v>
      </c>
    </row>
    <row r="17" customFormat="false" ht="15" hidden="false" customHeight="true" outlineLevel="0" collapsed="false">
      <c r="A17" s="16" t="n">
        <v>16</v>
      </c>
      <c r="B17" s="24" t="n">
        <v>46315</v>
      </c>
      <c r="C17" s="16" t="s">
        <v>1084</v>
      </c>
      <c r="D17" s="16" t="s">
        <v>1430</v>
      </c>
      <c r="E17" s="16" t="s">
        <v>1423</v>
      </c>
      <c r="F17" s="16" t="s">
        <v>1431</v>
      </c>
      <c r="G17" s="16" t="s">
        <v>340</v>
      </c>
      <c r="H17" s="16" t="s">
        <v>576</v>
      </c>
      <c r="I17" s="16" t="s">
        <v>1432</v>
      </c>
    </row>
    <row r="18" customFormat="false" ht="23.25" hidden="false" customHeight="true" outlineLevel="0" collapsed="false">
      <c r="A18" s="16" t="n">
        <v>17</v>
      </c>
      <c r="B18" s="24" t="n">
        <v>46315</v>
      </c>
      <c r="C18" s="16" t="s">
        <v>1079</v>
      </c>
      <c r="D18" s="16" t="s">
        <v>1433</v>
      </c>
      <c r="E18" s="16" t="s">
        <v>1434</v>
      </c>
      <c r="F18" s="16" t="s">
        <v>1435</v>
      </c>
      <c r="G18" s="16" t="s">
        <v>312</v>
      </c>
      <c r="H18" s="16" t="s">
        <v>576</v>
      </c>
      <c r="I18" s="16" t="s">
        <v>1391</v>
      </c>
    </row>
    <row r="19" customFormat="false" ht="23.25" hidden="false" customHeight="true" outlineLevel="0" collapsed="false">
      <c r="A19" s="16" t="n">
        <v>18</v>
      </c>
      <c r="B19" s="24" t="n">
        <v>46316</v>
      </c>
      <c r="C19" s="16" t="s">
        <v>1084</v>
      </c>
      <c r="D19" s="16" t="s">
        <v>1436</v>
      </c>
      <c r="E19" s="16" t="s">
        <v>1423</v>
      </c>
      <c r="F19" s="16" t="s">
        <v>1437</v>
      </c>
      <c r="G19" s="16" t="s">
        <v>340</v>
      </c>
      <c r="H19" s="16" t="s">
        <v>576</v>
      </c>
      <c r="I19" s="16" t="s">
        <v>1438</v>
      </c>
    </row>
    <row r="20" customFormat="false" ht="23.25" hidden="false" customHeight="true" outlineLevel="0" collapsed="false">
      <c r="A20" s="16" t="n">
        <v>19</v>
      </c>
      <c r="B20" s="24" t="n">
        <v>46316</v>
      </c>
      <c r="C20" s="16" t="s">
        <v>1084</v>
      </c>
      <c r="D20" s="16" t="s">
        <v>1439</v>
      </c>
      <c r="E20" s="16" t="s">
        <v>1423</v>
      </c>
      <c r="F20" s="16" t="s">
        <v>1440</v>
      </c>
      <c r="G20" s="16" t="s">
        <v>340</v>
      </c>
      <c r="H20" s="16" t="s">
        <v>576</v>
      </c>
      <c r="I20" s="16" t="s">
        <v>1438</v>
      </c>
    </row>
    <row r="21" customFormat="false" ht="23.25" hidden="false" customHeight="true" outlineLevel="0" collapsed="false">
      <c r="A21" s="16" t="n">
        <v>20</v>
      </c>
      <c r="B21" s="24" t="n">
        <v>46316</v>
      </c>
      <c r="C21" s="16" t="s">
        <v>604</v>
      </c>
      <c r="D21" s="16" t="s">
        <v>1441</v>
      </c>
      <c r="E21" s="16" t="s">
        <v>1423</v>
      </c>
      <c r="F21" s="16" t="s">
        <v>1442</v>
      </c>
      <c r="G21" s="16" t="s">
        <v>340</v>
      </c>
      <c r="H21" s="16" t="s">
        <v>576</v>
      </c>
      <c r="I21" s="16" t="s">
        <v>1438</v>
      </c>
    </row>
    <row r="22" customFormat="false" ht="23.25" hidden="false" customHeight="true" outlineLevel="0" collapsed="false">
      <c r="A22" s="16" t="n">
        <v>21</v>
      </c>
      <c r="B22" s="24" t="n">
        <v>46316</v>
      </c>
      <c r="C22" s="16" t="s">
        <v>1079</v>
      </c>
      <c r="D22" s="16" t="s">
        <v>1443</v>
      </c>
      <c r="E22" s="16" t="s">
        <v>1423</v>
      </c>
      <c r="F22" s="16" t="s">
        <v>1444</v>
      </c>
      <c r="G22" s="16" t="s">
        <v>340</v>
      </c>
      <c r="H22" s="16" t="s">
        <v>576</v>
      </c>
      <c r="I22" s="16" t="s">
        <v>1438</v>
      </c>
    </row>
    <row r="23" customFormat="false" ht="15" hidden="false" customHeight="true" outlineLevel="0" collapsed="false">
      <c r="A23" s="16" t="n">
        <v>22</v>
      </c>
      <c r="B23" s="24" t="n">
        <v>46317</v>
      </c>
      <c r="C23" s="16" t="s">
        <v>1084</v>
      </c>
      <c r="D23" s="16" t="s">
        <v>1445</v>
      </c>
      <c r="E23" s="16" t="s">
        <v>1423</v>
      </c>
      <c r="F23" s="16" t="s">
        <v>1446</v>
      </c>
      <c r="G23" s="16" t="s">
        <v>340</v>
      </c>
      <c r="H23" s="16" t="s">
        <v>576</v>
      </c>
      <c r="I23" s="16" t="s">
        <v>1427</v>
      </c>
    </row>
    <row r="24" customFormat="false" ht="15" hidden="false" customHeight="true" outlineLevel="0" collapsed="false">
      <c r="A24" s="16" t="n">
        <v>23</v>
      </c>
      <c r="B24" s="24" t="n">
        <v>46317</v>
      </c>
      <c r="C24" s="16" t="s">
        <v>1084</v>
      </c>
      <c r="D24" s="16" t="s">
        <v>1447</v>
      </c>
      <c r="E24" s="16" t="s">
        <v>1423</v>
      </c>
      <c r="F24" s="16" t="s">
        <v>1448</v>
      </c>
      <c r="G24" s="16" t="s">
        <v>340</v>
      </c>
      <c r="H24" s="16" t="s">
        <v>576</v>
      </c>
      <c r="I24" s="16" t="s">
        <v>1427</v>
      </c>
    </row>
    <row r="25" customFormat="false" ht="23.25" hidden="false" customHeight="true" outlineLevel="0" collapsed="false">
      <c r="A25" s="16" t="n">
        <v>24</v>
      </c>
      <c r="B25" s="24" t="n">
        <v>46317</v>
      </c>
      <c r="C25" s="16" t="s">
        <v>1084</v>
      </c>
      <c r="D25" s="16" t="s">
        <v>1449</v>
      </c>
      <c r="E25" s="16" t="s">
        <v>1423</v>
      </c>
      <c r="F25" s="16" t="s">
        <v>1450</v>
      </c>
      <c r="G25" s="16" t="s">
        <v>340</v>
      </c>
      <c r="H25" s="16" t="s">
        <v>576</v>
      </c>
      <c r="I25" s="16" t="s">
        <v>1427</v>
      </c>
    </row>
    <row r="26" customFormat="false" ht="23.25" hidden="false" customHeight="true" outlineLevel="0" collapsed="false">
      <c r="A26" s="16" t="n">
        <v>25</v>
      </c>
      <c r="B26" s="24" t="n">
        <v>46317</v>
      </c>
      <c r="C26" s="16" t="s">
        <v>1079</v>
      </c>
      <c r="D26" s="16" t="s">
        <v>1451</v>
      </c>
      <c r="E26" s="16" t="s">
        <v>1147</v>
      </c>
      <c r="F26" s="16" t="s">
        <v>1452</v>
      </c>
      <c r="G26" s="16" t="s">
        <v>312</v>
      </c>
      <c r="H26" s="16" t="s">
        <v>576</v>
      </c>
      <c r="I26" s="16" t="s">
        <v>1391</v>
      </c>
    </row>
    <row r="27" customFormat="false" ht="23.25" hidden="false" customHeight="true" outlineLevel="0" collapsed="false">
      <c r="A27" s="16" t="n">
        <v>26</v>
      </c>
      <c r="B27" s="24" t="n">
        <v>46318</v>
      </c>
      <c r="C27" s="16" t="s">
        <v>615</v>
      </c>
      <c r="D27" s="16" t="s">
        <v>1453</v>
      </c>
      <c r="E27" s="16" t="s">
        <v>1401</v>
      </c>
      <c r="F27" s="16" t="s">
        <v>1454</v>
      </c>
      <c r="G27" s="16" t="s">
        <v>162</v>
      </c>
      <c r="H27" s="16" t="s">
        <v>576</v>
      </c>
      <c r="I27" s="16" t="s">
        <v>1403</v>
      </c>
    </row>
    <row r="28" customFormat="false" ht="15" hidden="false" customHeight="true" outlineLevel="0" collapsed="false">
      <c r="A28" s="16" t="n">
        <v>27</v>
      </c>
      <c r="B28" s="24" t="n">
        <v>46318</v>
      </c>
      <c r="C28" s="16" t="s">
        <v>615</v>
      </c>
      <c r="D28" s="16" t="s">
        <v>1455</v>
      </c>
      <c r="E28" s="16" t="s">
        <v>1401</v>
      </c>
      <c r="F28" s="16" t="s">
        <v>1456</v>
      </c>
      <c r="G28" s="16" t="s">
        <v>162</v>
      </c>
      <c r="H28" s="16" t="s">
        <v>576</v>
      </c>
      <c r="I28" s="16" t="s">
        <v>1403</v>
      </c>
    </row>
    <row r="30" customFormat="false" ht="15" hidden="false" customHeight="true" outlineLevel="0" collapsed="false">
      <c r="A30" s="1" t="s">
        <v>1457</v>
      </c>
    </row>
  </sheetData>
  <autoFilter ref="A1:I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44"/>
    <col collapsed="false" customWidth="true" hidden="false" outlineLevel="0" max="3" min="3" style="1" width="18"/>
    <col collapsed="false" customWidth="true" hidden="false" outlineLevel="0" max="4" min="4" style="1" width="14"/>
    <col collapsed="false" customWidth="true" hidden="false" outlineLevel="0" max="5" min="5" style="1" width="22"/>
    <col collapsed="false" customWidth="true" hidden="false" outlineLevel="0" max="6" min="6" style="1" width="30"/>
    <col collapsed="false" customWidth="true" hidden="false" outlineLevel="0" max="7" min="7" style="1" width="90"/>
  </cols>
  <sheetData>
    <row r="1" customFormat="false" ht="15" hidden="false" customHeight="true" outlineLevel="0" collapsed="false">
      <c r="A1" s="14" t="s">
        <v>1384</v>
      </c>
      <c r="B1" s="14" t="s">
        <v>1458</v>
      </c>
      <c r="C1" s="14" t="s">
        <v>1459</v>
      </c>
      <c r="D1" s="14" t="s">
        <v>2</v>
      </c>
      <c r="E1" s="14" t="s">
        <v>1069</v>
      </c>
      <c r="F1" s="14" t="s">
        <v>51</v>
      </c>
      <c r="G1" s="14" t="s">
        <v>1179</v>
      </c>
    </row>
    <row r="2" customFormat="false" ht="42" hidden="false" customHeight="true" outlineLevel="0" collapsed="false">
      <c r="A2" s="25" t="n">
        <v>46318</v>
      </c>
      <c r="B2" s="16" t="s">
        <v>1460</v>
      </c>
      <c r="C2" s="16" t="s">
        <v>1076</v>
      </c>
      <c r="D2" s="16" t="s">
        <v>1461</v>
      </c>
      <c r="E2" s="16" t="s">
        <v>1462</v>
      </c>
      <c r="F2" s="16" t="s">
        <v>1463</v>
      </c>
      <c r="G2" s="16" t="s">
        <v>1464</v>
      </c>
    </row>
    <row r="3" customFormat="false" ht="27.75" hidden="false" customHeight="true" outlineLevel="0" collapsed="false">
      <c r="A3" s="25" t="n">
        <v>46308</v>
      </c>
      <c r="B3" s="16" t="s">
        <v>1465</v>
      </c>
      <c r="C3" s="16" t="s">
        <v>1466</v>
      </c>
      <c r="D3" s="16" t="s">
        <v>1467</v>
      </c>
      <c r="E3" s="16" t="s">
        <v>1468</v>
      </c>
      <c r="F3" s="16" t="s">
        <v>1469</v>
      </c>
      <c r="G3" s="16" t="s">
        <v>1470</v>
      </c>
    </row>
    <row r="4" customFormat="false" ht="42" hidden="false" customHeight="true" outlineLevel="0" collapsed="false">
      <c r="A4" s="25" t="n">
        <v>46308</v>
      </c>
      <c r="B4" s="16" t="s">
        <v>1471</v>
      </c>
      <c r="C4" s="16" t="s">
        <v>1466</v>
      </c>
      <c r="D4" s="16" t="s">
        <v>1472</v>
      </c>
      <c r="E4" s="16" t="s">
        <v>240</v>
      </c>
      <c r="F4" s="16" t="s">
        <v>1473</v>
      </c>
      <c r="G4" s="16" t="s">
        <v>1474</v>
      </c>
    </row>
    <row r="5" customFormat="false" ht="27.75" hidden="false" customHeight="true" outlineLevel="0" collapsed="false">
      <c r="A5" s="25" t="n">
        <v>46301</v>
      </c>
      <c r="B5" s="16" t="s">
        <v>1475</v>
      </c>
      <c r="C5" s="16" t="s">
        <v>1476</v>
      </c>
      <c r="D5" s="16" t="s">
        <v>578</v>
      </c>
      <c r="E5" s="16" t="s">
        <v>236</v>
      </c>
      <c r="F5" s="16" t="s">
        <v>1477</v>
      </c>
      <c r="G5" s="16" t="s">
        <v>1478</v>
      </c>
    </row>
    <row r="6" customFormat="false" ht="55.5" hidden="false" customHeight="true" outlineLevel="0" collapsed="false">
      <c r="A6" s="25" t="n">
        <v>46292</v>
      </c>
      <c r="B6" s="16" t="s">
        <v>1479</v>
      </c>
      <c r="C6" s="16" t="s">
        <v>1480</v>
      </c>
      <c r="D6" s="16" t="s">
        <v>1467</v>
      </c>
      <c r="E6" s="16" t="s">
        <v>205</v>
      </c>
      <c r="F6" s="16" t="s">
        <v>1481</v>
      </c>
      <c r="G6" s="16" t="s">
        <v>1482</v>
      </c>
    </row>
    <row r="7" customFormat="false" ht="42" hidden="false" customHeight="true" outlineLevel="0" collapsed="false">
      <c r="A7" s="25" t="n">
        <v>46308</v>
      </c>
      <c r="B7" s="16" t="s">
        <v>1483</v>
      </c>
      <c r="C7" s="16" t="s">
        <v>1076</v>
      </c>
      <c r="D7" s="16" t="s">
        <v>1467</v>
      </c>
      <c r="E7" s="16" t="s">
        <v>324</v>
      </c>
      <c r="F7" s="16" t="s">
        <v>1484</v>
      </c>
      <c r="G7" s="16" t="s">
        <v>1485</v>
      </c>
    </row>
    <row r="8" customFormat="false" ht="34.5" hidden="false" customHeight="true" outlineLevel="0" collapsed="false">
      <c r="A8" s="25" t="n">
        <v>46308</v>
      </c>
      <c r="B8" s="16" t="s">
        <v>1486</v>
      </c>
      <c r="C8" s="16" t="s">
        <v>1487</v>
      </c>
      <c r="D8" s="16" t="s">
        <v>1488</v>
      </c>
      <c r="E8" s="16" t="s">
        <v>1489</v>
      </c>
      <c r="F8" s="16" t="s">
        <v>1490</v>
      </c>
      <c r="G8" s="16" t="s">
        <v>1491</v>
      </c>
    </row>
    <row r="9" customFormat="false" ht="34.5" hidden="false" customHeight="true" outlineLevel="0" collapsed="false">
      <c r="A9" s="25" t="n">
        <v>46265</v>
      </c>
      <c r="B9" s="16" t="s">
        <v>1492</v>
      </c>
      <c r="C9" s="16" t="s">
        <v>1493</v>
      </c>
      <c r="D9" s="16" t="s">
        <v>1494</v>
      </c>
      <c r="E9" s="16" t="s">
        <v>1495</v>
      </c>
      <c r="F9" s="16" t="s">
        <v>1496</v>
      </c>
      <c r="G9" s="16" t="s">
        <v>1497</v>
      </c>
    </row>
    <row r="10" customFormat="false" ht="23.25" hidden="false" customHeight="true" outlineLevel="0" collapsed="false">
      <c r="A10" s="25" t="n">
        <v>46310</v>
      </c>
      <c r="B10" s="16" t="s">
        <v>1498</v>
      </c>
      <c r="C10" s="16" t="s">
        <v>1480</v>
      </c>
      <c r="D10" s="16" t="s">
        <v>586</v>
      </c>
      <c r="E10" s="16" t="s">
        <v>1499</v>
      </c>
      <c r="F10" s="16" t="s">
        <v>1500</v>
      </c>
      <c r="G10" s="16" t="s">
        <v>1501</v>
      </c>
    </row>
    <row r="11" customFormat="false" ht="15" hidden="false" customHeight="true" outlineLevel="0" collapsed="false">
      <c r="A11" s="25" t="n">
        <v>46314</v>
      </c>
      <c r="B11" s="16" t="s">
        <v>1502</v>
      </c>
      <c r="C11" s="16" t="s">
        <v>1503</v>
      </c>
      <c r="D11" s="16" t="s">
        <v>586</v>
      </c>
      <c r="E11" s="16" t="s">
        <v>1504</v>
      </c>
      <c r="F11" s="16" t="s">
        <v>1505</v>
      </c>
      <c r="G11" s="16" t="s">
        <v>1506</v>
      </c>
    </row>
    <row r="12" customFormat="false" ht="15" hidden="false" customHeight="true" outlineLevel="0" collapsed="false">
      <c r="A12" s="23" t="s">
        <v>1507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22"/>
    <col collapsed="false" customWidth="true" hidden="false" outlineLevel="0" max="4" min="4" style="1" width="7"/>
    <col collapsed="false" customWidth="true" hidden="false" outlineLevel="0" max="5" min="5" style="1" width="12"/>
    <col collapsed="false" customWidth="true" hidden="false" outlineLevel="0" max="6" min="6" style="1" width="14"/>
    <col collapsed="false" customWidth="true" hidden="false" outlineLevel="0" max="7" min="7" style="1" width="13"/>
    <col collapsed="false" customWidth="true" hidden="false" outlineLevel="0" max="8" min="8" style="1" width="14"/>
    <col collapsed="false" customWidth="true" hidden="false" outlineLevel="0" max="9" min="9" style="1" width="9"/>
    <col collapsed="false" customWidth="true" hidden="false" outlineLevel="0" max="10" min="10" style="1" width="90"/>
  </cols>
  <sheetData>
    <row r="1" customFormat="false" ht="15" hidden="false" customHeight="true" outlineLevel="0" collapsed="false">
      <c r="A1" s="26" t="s">
        <v>46</v>
      </c>
      <c r="B1" s="26" t="s">
        <v>1100</v>
      </c>
      <c r="C1" s="26" t="s">
        <v>1144</v>
      </c>
      <c r="D1" s="26" t="s">
        <v>1101</v>
      </c>
      <c r="E1" s="26" t="s">
        <v>1508</v>
      </c>
      <c r="F1" s="26" t="s">
        <v>1509</v>
      </c>
      <c r="G1" s="26" t="s">
        <v>51</v>
      </c>
      <c r="H1" s="26" t="s">
        <v>1510</v>
      </c>
      <c r="I1" s="26" t="s">
        <v>1511</v>
      </c>
      <c r="J1" s="26" t="s">
        <v>1179</v>
      </c>
    </row>
    <row r="2" customFormat="false" ht="15" hidden="false" customHeight="true" outlineLevel="0" collapsed="false">
      <c r="A2" s="27" t="s">
        <v>1512</v>
      </c>
      <c r="B2" s="27" t="s">
        <v>1513</v>
      </c>
      <c r="C2" s="27" t="s">
        <v>1147</v>
      </c>
      <c r="D2" s="28" t="s">
        <v>576</v>
      </c>
      <c r="E2" s="27" t="s">
        <v>71</v>
      </c>
      <c r="F2" s="29" t="n">
        <v>46234</v>
      </c>
      <c r="G2" s="28" t="s">
        <v>1514</v>
      </c>
      <c r="H2" s="30"/>
      <c r="I2" s="28" t="s">
        <v>1515</v>
      </c>
      <c r="J2" s="27" t="s">
        <v>1516</v>
      </c>
    </row>
    <row r="3" customFormat="false" ht="15" hidden="false" customHeight="true" outlineLevel="0" collapsed="false">
      <c r="A3" s="27" t="s">
        <v>1517</v>
      </c>
      <c r="B3" s="27" t="s">
        <v>1513</v>
      </c>
      <c r="C3" s="27" t="s">
        <v>1147</v>
      </c>
      <c r="D3" s="28" t="s">
        <v>576</v>
      </c>
      <c r="E3" s="27" t="s">
        <v>71</v>
      </c>
      <c r="F3" s="29" t="n">
        <v>46234</v>
      </c>
      <c r="G3" s="28" t="s">
        <v>1518</v>
      </c>
      <c r="H3" s="30" t="n">
        <v>46294</v>
      </c>
      <c r="I3" s="28" t="s">
        <v>1515</v>
      </c>
      <c r="J3" s="27" t="s">
        <v>1519</v>
      </c>
    </row>
    <row r="4" customFormat="false" ht="15" hidden="false" customHeight="true" outlineLevel="0" collapsed="false">
      <c r="A4" s="27" t="s">
        <v>1520</v>
      </c>
      <c r="B4" s="27" t="s">
        <v>1513</v>
      </c>
      <c r="C4" s="27" t="s">
        <v>1147</v>
      </c>
      <c r="D4" s="28" t="s">
        <v>576</v>
      </c>
      <c r="E4" s="27" t="s">
        <v>66</v>
      </c>
      <c r="F4" s="29" t="n">
        <v>46234</v>
      </c>
      <c r="G4" s="28" t="s">
        <v>1518</v>
      </c>
      <c r="H4" s="30" t="n">
        <v>46294</v>
      </c>
      <c r="I4" s="28" t="s">
        <v>1521</v>
      </c>
      <c r="J4" s="27" t="s">
        <v>1522</v>
      </c>
    </row>
    <row r="5" customFormat="false" ht="15" hidden="false" customHeight="true" outlineLevel="0" collapsed="false">
      <c r="A5" s="27" t="s">
        <v>1523</v>
      </c>
      <c r="B5" s="27" t="s">
        <v>1513</v>
      </c>
      <c r="C5" s="27" t="s">
        <v>1147</v>
      </c>
      <c r="D5" s="28" t="s">
        <v>576</v>
      </c>
      <c r="E5" s="27" t="s">
        <v>1524</v>
      </c>
      <c r="F5" s="29"/>
      <c r="G5" s="28" t="s">
        <v>1525</v>
      </c>
      <c r="H5" s="30"/>
      <c r="I5" s="28" t="s">
        <v>1521</v>
      </c>
      <c r="J5" s="27" t="s">
        <v>1526</v>
      </c>
    </row>
    <row r="6" customFormat="false" ht="15" hidden="false" customHeight="true" outlineLevel="0" collapsed="false">
      <c r="A6" s="27" t="s">
        <v>1527</v>
      </c>
      <c r="B6" s="27" t="s">
        <v>1513</v>
      </c>
      <c r="C6" s="27" t="s">
        <v>1147</v>
      </c>
      <c r="D6" s="28" t="s">
        <v>576</v>
      </c>
      <c r="E6" s="27" t="s">
        <v>1524</v>
      </c>
      <c r="F6" s="29"/>
      <c r="G6" s="28" t="s">
        <v>1525</v>
      </c>
      <c r="H6" s="30"/>
      <c r="I6" s="28" t="s">
        <v>1521</v>
      </c>
      <c r="J6" s="27" t="s">
        <v>1528</v>
      </c>
    </row>
    <row r="7" customFormat="false" ht="15" hidden="false" customHeight="true" outlineLevel="0" collapsed="false">
      <c r="A7" s="27" t="s">
        <v>1529</v>
      </c>
      <c r="B7" s="27" t="s">
        <v>1513</v>
      </c>
      <c r="C7" s="27" t="s">
        <v>1147</v>
      </c>
      <c r="D7" s="28" t="s">
        <v>576</v>
      </c>
      <c r="E7" s="27" t="s">
        <v>1524</v>
      </c>
      <c r="F7" s="29"/>
      <c r="G7" s="28" t="s">
        <v>1525</v>
      </c>
      <c r="H7" s="30"/>
      <c r="I7" s="28" t="s">
        <v>1521</v>
      </c>
      <c r="J7" s="27" t="s">
        <v>1530</v>
      </c>
    </row>
    <row r="8" customFormat="false" ht="15" hidden="false" customHeight="true" outlineLevel="0" collapsed="false">
      <c r="A8" s="27" t="s">
        <v>1531</v>
      </c>
      <c r="B8" s="27" t="s">
        <v>1513</v>
      </c>
      <c r="C8" s="27" t="s">
        <v>1147</v>
      </c>
      <c r="D8" s="28" t="s">
        <v>576</v>
      </c>
      <c r="E8" s="27" t="s">
        <v>1532</v>
      </c>
      <c r="F8" s="29" t="n">
        <v>46234</v>
      </c>
      <c r="G8" s="28" t="s">
        <v>1518</v>
      </c>
      <c r="H8" s="30" t="n">
        <v>46294</v>
      </c>
      <c r="I8" s="28" t="s">
        <v>1521</v>
      </c>
      <c r="J8" s="27" t="s">
        <v>1533</v>
      </c>
    </row>
    <row r="9" customFormat="false" ht="15" hidden="false" customHeight="true" outlineLevel="0" collapsed="false">
      <c r="A9" s="27" t="s">
        <v>1534</v>
      </c>
      <c r="B9" s="27" t="s">
        <v>1513</v>
      </c>
      <c r="C9" s="27" t="s">
        <v>1147</v>
      </c>
      <c r="D9" s="28" t="s">
        <v>576</v>
      </c>
      <c r="E9" s="27" t="s">
        <v>1532</v>
      </c>
      <c r="F9" s="29" t="n">
        <v>46234</v>
      </c>
      <c r="G9" s="28" t="s">
        <v>1518</v>
      </c>
      <c r="H9" s="30" t="n">
        <v>46294</v>
      </c>
      <c r="I9" s="28" t="s">
        <v>1521</v>
      </c>
      <c r="J9" s="27" t="s">
        <v>1535</v>
      </c>
    </row>
    <row r="10" customFormat="false" ht="15" hidden="false" customHeight="true" outlineLevel="0" collapsed="false">
      <c r="A10" s="27" t="s">
        <v>1536</v>
      </c>
      <c r="B10" s="27" t="s">
        <v>1513</v>
      </c>
      <c r="C10" s="27" t="s">
        <v>1147</v>
      </c>
      <c r="D10" s="28" t="s">
        <v>576</v>
      </c>
      <c r="E10" s="27" t="s">
        <v>1532</v>
      </c>
      <c r="F10" s="29" t="n">
        <v>46234</v>
      </c>
      <c r="G10" s="28" t="s">
        <v>1518</v>
      </c>
      <c r="H10" s="30" t="n">
        <v>46294</v>
      </c>
      <c r="I10" s="28" t="s">
        <v>1521</v>
      </c>
      <c r="J10" s="27" t="s">
        <v>1537</v>
      </c>
    </row>
    <row r="11" customFormat="false" ht="15" hidden="false" customHeight="true" outlineLevel="0" collapsed="false">
      <c r="A11" s="27" t="s">
        <v>1538</v>
      </c>
      <c r="B11" s="27" t="s">
        <v>1513</v>
      </c>
      <c r="C11" s="27" t="s">
        <v>1147</v>
      </c>
      <c r="D11" s="28" t="s">
        <v>576</v>
      </c>
      <c r="E11" s="27" t="s">
        <v>66</v>
      </c>
      <c r="F11" s="29" t="n">
        <v>46234</v>
      </c>
      <c r="G11" s="28" t="s">
        <v>1514</v>
      </c>
      <c r="H11" s="30"/>
      <c r="I11" s="28" t="s">
        <v>1521</v>
      </c>
      <c r="J11" s="27" t="s">
        <v>1539</v>
      </c>
    </row>
    <row r="12" customFormat="false" ht="15" hidden="false" customHeight="true" outlineLevel="0" collapsed="false">
      <c r="A12" s="27" t="s">
        <v>1540</v>
      </c>
      <c r="B12" s="27" t="s">
        <v>1513</v>
      </c>
      <c r="C12" s="27" t="s">
        <v>1147</v>
      </c>
      <c r="D12" s="28" t="s">
        <v>576</v>
      </c>
      <c r="E12" s="27" t="s">
        <v>71</v>
      </c>
      <c r="F12" s="29" t="n">
        <v>46234</v>
      </c>
      <c r="G12" s="28" t="s">
        <v>1518</v>
      </c>
      <c r="H12" s="30" t="n">
        <v>46294</v>
      </c>
      <c r="I12" s="28" t="s">
        <v>1515</v>
      </c>
      <c r="J12" s="27" t="s">
        <v>1541</v>
      </c>
    </row>
    <row r="13" customFormat="false" ht="15" hidden="false" customHeight="true" outlineLevel="0" collapsed="false">
      <c r="A13" s="27" t="s">
        <v>1542</v>
      </c>
      <c r="B13" s="27" t="s">
        <v>1513</v>
      </c>
      <c r="C13" s="27" t="s">
        <v>1147</v>
      </c>
      <c r="D13" s="28" t="s">
        <v>576</v>
      </c>
      <c r="E13" s="27" t="s">
        <v>66</v>
      </c>
      <c r="F13" s="29" t="n">
        <v>46234</v>
      </c>
      <c r="G13" s="28" t="s">
        <v>1518</v>
      </c>
      <c r="H13" s="30" t="n">
        <v>46303</v>
      </c>
      <c r="I13" s="28" t="s">
        <v>1521</v>
      </c>
      <c r="J13" s="27" t="s">
        <v>1543</v>
      </c>
    </row>
    <row r="14" customFormat="false" ht="15" hidden="false" customHeight="true" outlineLevel="0" collapsed="false">
      <c r="A14" s="27" t="s">
        <v>1358</v>
      </c>
      <c r="B14" s="27" t="s">
        <v>1513</v>
      </c>
      <c r="C14" s="27" t="s">
        <v>1147</v>
      </c>
      <c r="D14" s="28" t="s">
        <v>576</v>
      </c>
      <c r="E14" s="27" t="s">
        <v>71</v>
      </c>
      <c r="F14" s="29" t="n">
        <v>46244</v>
      </c>
      <c r="G14" s="28" t="s">
        <v>1514</v>
      </c>
      <c r="H14" s="30"/>
      <c r="I14" s="28" t="s">
        <v>1515</v>
      </c>
      <c r="J14" s="27" t="s">
        <v>1544</v>
      </c>
    </row>
    <row r="15" customFormat="false" ht="15" hidden="false" customHeight="true" outlineLevel="0" collapsed="false">
      <c r="A15" s="27" t="s">
        <v>1271</v>
      </c>
      <c r="B15" s="27" t="s">
        <v>1513</v>
      </c>
      <c r="C15" s="27" t="s">
        <v>1147</v>
      </c>
      <c r="D15" s="28" t="s">
        <v>576</v>
      </c>
      <c r="E15" s="27" t="s">
        <v>66</v>
      </c>
      <c r="F15" s="29" t="n">
        <v>46234</v>
      </c>
      <c r="G15" s="28" t="s">
        <v>1518</v>
      </c>
      <c r="H15" s="30" t="n">
        <v>46294</v>
      </c>
      <c r="I15" s="28" t="s">
        <v>1521</v>
      </c>
      <c r="J15" s="27" t="s">
        <v>1545</v>
      </c>
    </row>
    <row r="16" customFormat="false" ht="15" hidden="false" customHeight="true" outlineLevel="0" collapsed="false">
      <c r="A16" s="27" t="s">
        <v>1546</v>
      </c>
      <c r="B16" s="27" t="s">
        <v>1513</v>
      </c>
      <c r="C16" s="27" t="s">
        <v>1147</v>
      </c>
      <c r="D16" s="28" t="s">
        <v>576</v>
      </c>
      <c r="E16" s="27" t="s">
        <v>66</v>
      </c>
      <c r="F16" s="29" t="n">
        <v>46244</v>
      </c>
      <c r="G16" s="28" t="s">
        <v>1518</v>
      </c>
      <c r="H16" s="30" t="n">
        <v>46294</v>
      </c>
      <c r="I16" s="28" t="s">
        <v>1521</v>
      </c>
      <c r="J16" s="27" t="s">
        <v>1547</v>
      </c>
    </row>
    <row r="17" customFormat="false" ht="15" hidden="false" customHeight="true" outlineLevel="0" collapsed="false">
      <c r="A17" s="27" t="s">
        <v>1548</v>
      </c>
      <c r="B17" s="27" t="s">
        <v>1513</v>
      </c>
      <c r="C17" s="27" t="s">
        <v>1147</v>
      </c>
      <c r="D17" s="28" t="s">
        <v>576</v>
      </c>
      <c r="E17" s="27" t="s">
        <v>66</v>
      </c>
      <c r="F17" s="29" t="n">
        <v>46244</v>
      </c>
      <c r="G17" s="28" t="s">
        <v>1518</v>
      </c>
      <c r="H17" s="30" t="n">
        <v>46294</v>
      </c>
      <c r="I17" s="28" t="s">
        <v>1521</v>
      </c>
      <c r="J17" s="27" t="s">
        <v>1549</v>
      </c>
    </row>
    <row r="18" customFormat="false" ht="15" hidden="false" customHeight="true" outlineLevel="0" collapsed="false">
      <c r="A18" s="27" t="s">
        <v>1550</v>
      </c>
      <c r="B18" s="27" t="s">
        <v>1513</v>
      </c>
      <c r="C18" s="27" t="s">
        <v>1147</v>
      </c>
      <c r="D18" s="28" t="s">
        <v>576</v>
      </c>
      <c r="E18" s="27" t="s">
        <v>66</v>
      </c>
      <c r="F18" s="29" t="n">
        <v>46248</v>
      </c>
      <c r="G18" s="28" t="s">
        <v>1514</v>
      </c>
      <c r="H18" s="30"/>
      <c r="I18" s="28" t="s">
        <v>1521</v>
      </c>
      <c r="J18" s="27" t="s">
        <v>1551</v>
      </c>
    </row>
    <row r="19" customFormat="false" ht="15" hidden="false" customHeight="true" outlineLevel="0" collapsed="false">
      <c r="A19" s="27" t="s">
        <v>1552</v>
      </c>
      <c r="B19" s="27" t="s">
        <v>1513</v>
      </c>
      <c r="C19" s="27" t="s">
        <v>1147</v>
      </c>
      <c r="D19" s="28" t="s">
        <v>576</v>
      </c>
      <c r="E19" s="27" t="s">
        <v>66</v>
      </c>
      <c r="F19" s="29" t="n">
        <v>46248</v>
      </c>
      <c r="G19" s="28" t="s">
        <v>1518</v>
      </c>
      <c r="H19" s="30" t="n">
        <v>46303</v>
      </c>
      <c r="I19" s="28" t="s">
        <v>1521</v>
      </c>
      <c r="J19" s="27" t="s">
        <v>1553</v>
      </c>
    </row>
    <row r="20" customFormat="false" ht="15" hidden="false" customHeight="true" outlineLevel="0" collapsed="false">
      <c r="A20" s="27" t="s">
        <v>1323</v>
      </c>
      <c r="B20" s="27" t="s">
        <v>1513</v>
      </c>
      <c r="C20" s="27" t="s">
        <v>1147</v>
      </c>
      <c r="D20" s="28" t="s">
        <v>576</v>
      </c>
      <c r="E20" s="27" t="s">
        <v>71</v>
      </c>
      <c r="F20" s="29" t="n">
        <v>46248</v>
      </c>
      <c r="G20" s="28" t="s">
        <v>1518</v>
      </c>
      <c r="H20" s="30" t="n">
        <v>46294</v>
      </c>
      <c r="I20" s="28" t="s">
        <v>1515</v>
      </c>
      <c r="J20" s="27" t="s">
        <v>1554</v>
      </c>
    </row>
    <row r="21" customFormat="false" ht="15" hidden="false" customHeight="true" outlineLevel="0" collapsed="false">
      <c r="A21" s="27" t="s">
        <v>1555</v>
      </c>
      <c r="B21" s="27" t="s">
        <v>1513</v>
      </c>
      <c r="C21" s="27" t="s">
        <v>1147</v>
      </c>
      <c r="D21" s="28" t="s">
        <v>576</v>
      </c>
      <c r="E21" s="27" t="s">
        <v>71</v>
      </c>
      <c r="F21" s="29" t="n">
        <v>46248</v>
      </c>
      <c r="G21" s="28" t="s">
        <v>1514</v>
      </c>
      <c r="H21" s="30"/>
      <c r="I21" s="28" t="s">
        <v>1515</v>
      </c>
      <c r="J21" s="27" t="s">
        <v>1556</v>
      </c>
    </row>
    <row r="22" customFormat="false" ht="15" hidden="false" customHeight="true" outlineLevel="0" collapsed="false">
      <c r="A22" s="27" t="s">
        <v>1557</v>
      </c>
      <c r="B22" s="27" t="s">
        <v>1513</v>
      </c>
      <c r="C22" s="27" t="s">
        <v>1147</v>
      </c>
      <c r="D22" s="28" t="s">
        <v>576</v>
      </c>
      <c r="E22" s="27" t="s">
        <v>1524</v>
      </c>
      <c r="F22" s="29"/>
      <c r="G22" s="28" t="s">
        <v>1525</v>
      </c>
      <c r="H22" s="30"/>
      <c r="I22" s="28" t="s">
        <v>1521</v>
      </c>
      <c r="J22" s="27" t="s">
        <v>1558</v>
      </c>
    </row>
    <row r="23" customFormat="false" ht="15" hidden="false" customHeight="true" outlineLevel="0" collapsed="false">
      <c r="A23" s="27" t="s">
        <v>1559</v>
      </c>
      <c r="B23" s="27" t="s">
        <v>1513</v>
      </c>
      <c r="C23" s="27" t="s">
        <v>1147</v>
      </c>
      <c r="D23" s="28" t="s">
        <v>576</v>
      </c>
      <c r="E23" s="27" t="s">
        <v>66</v>
      </c>
      <c r="F23" s="29" t="n">
        <v>46248</v>
      </c>
      <c r="G23" s="28" t="s">
        <v>1518</v>
      </c>
      <c r="H23" s="30" t="n">
        <v>46294</v>
      </c>
      <c r="I23" s="28" t="s">
        <v>1521</v>
      </c>
      <c r="J23" s="27" t="s">
        <v>1560</v>
      </c>
    </row>
    <row r="24" customFormat="false" ht="15" hidden="false" customHeight="true" outlineLevel="0" collapsed="false">
      <c r="A24" s="27" t="s">
        <v>1561</v>
      </c>
      <c r="B24" s="27" t="s">
        <v>1513</v>
      </c>
      <c r="C24" s="27" t="s">
        <v>1147</v>
      </c>
      <c r="D24" s="28" t="s">
        <v>576</v>
      </c>
      <c r="E24" s="27" t="s">
        <v>66</v>
      </c>
      <c r="F24" s="29" t="n">
        <v>46248</v>
      </c>
      <c r="G24" s="28" t="s">
        <v>1514</v>
      </c>
      <c r="H24" s="30"/>
      <c r="I24" s="28" t="s">
        <v>1521</v>
      </c>
      <c r="J24" s="27" t="s">
        <v>1562</v>
      </c>
    </row>
    <row r="25" customFormat="false" ht="15" hidden="false" customHeight="true" outlineLevel="0" collapsed="false">
      <c r="A25" s="27" t="s">
        <v>1256</v>
      </c>
      <c r="B25" s="27" t="s">
        <v>1513</v>
      </c>
      <c r="C25" s="27" t="s">
        <v>1147</v>
      </c>
      <c r="D25" s="28" t="s">
        <v>576</v>
      </c>
      <c r="E25" s="27" t="s">
        <v>66</v>
      </c>
      <c r="F25" s="29" t="n">
        <v>46248</v>
      </c>
      <c r="G25" s="28" t="s">
        <v>1518</v>
      </c>
      <c r="H25" s="30" t="n">
        <v>46294</v>
      </c>
      <c r="I25" s="28" t="s">
        <v>1521</v>
      </c>
      <c r="J25" s="27" t="s">
        <v>1563</v>
      </c>
    </row>
    <row r="26" customFormat="false" ht="15" hidden="false" customHeight="true" outlineLevel="0" collapsed="false">
      <c r="A26" s="27" t="s">
        <v>1564</v>
      </c>
      <c r="B26" s="27" t="s">
        <v>1513</v>
      </c>
      <c r="C26" s="27" t="s">
        <v>1147</v>
      </c>
      <c r="D26" s="28" t="s">
        <v>576</v>
      </c>
      <c r="E26" s="27" t="s">
        <v>66</v>
      </c>
      <c r="F26" s="29" t="n">
        <v>46248</v>
      </c>
      <c r="G26" s="28" t="s">
        <v>1518</v>
      </c>
      <c r="H26" s="30" t="n">
        <v>46294</v>
      </c>
      <c r="I26" s="28" t="s">
        <v>1521</v>
      </c>
      <c r="J26" s="27" t="s">
        <v>1565</v>
      </c>
    </row>
    <row r="27" customFormat="false" ht="15" hidden="false" customHeight="true" outlineLevel="0" collapsed="false">
      <c r="A27" s="27" t="s">
        <v>1566</v>
      </c>
      <c r="B27" s="27" t="s">
        <v>1513</v>
      </c>
      <c r="C27" s="27" t="s">
        <v>1147</v>
      </c>
      <c r="D27" s="28" t="s">
        <v>576</v>
      </c>
      <c r="E27" s="27" t="s">
        <v>66</v>
      </c>
      <c r="F27" s="29" t="n">
        <v>46252</v>
      </c>
      <c r="G27" s="28" t="s">
        <v>1514</v>
      </c>
      <c r="H27" s="30"/>
      <c r="I27" s="28" t="s">
        <v>1521</v>
      </c>
      <c r="J27" s="27" t="s">
        <v>1567</v>
      </c>
    </row>
    <row r="28" customFormat="false" ht="15" hidden="false" customHeight="true" outlineLevel="0" collapsed="false">
      <c r="A28" s="27" t="s">
        <v>1374</v>
      </c>
      <c r="B28" s="27" t="s">
        <v>1513</v>
      </c>
      <c r="C28" s="27" t="s">
        <v>1147</v>
      </c>
      <c r="D28" s="28" t="s">
        <v>576</v>
      </c>
      <c r="E28" s="27" t="s">
        <v>66</v>
      </c>
      <c r="F28" s="29" t="n">
        <v>46259</v>
      </c>
      <c r="G28" s="28" t="s">
        <v>1518</v>
      </c>
      <c r="H28" s="30" t="n">
        <v>46303</v>
      </c>
      <c r="I28" s="28" t="s">
        <v>1521</v>
      </c>
      <c r="J28" s="27" t="s">
        <v>1568</v>
      </c>
    </row>
    <row r="29" customFormat="false" ht="15" hidden="false" customHeight="true" outlineLevel="0" collapsed="false">
      <c r="A29" s="27" t="s">
        <v>1569</v>
      </c>
      <c r="B29" s="27" t="s">
        <v>1513</v>
      </c>
      <c r="C29" s="27" t="s">
        <v>1147</v>
      </c>
      <c r="D29" s="28" t="s">
        <v>576</v>
      </c>
      <c r="E29" s="27" t="s">
        <v>66</v>
      </c>
      <c r="F29" s="29" t="n">
        <v>46265</v>
      </c>
      <c r="G29" s="28" t="s">
        <v>1518</v>
      </c>
      <c r="H29" s="30" t="n">
        <v>46303</v>
      </c>
      <c r="I29" s="28" t="s">
        <v>1521</v>
      </c>
      <c r="J29" s="27" t="s">
        <v>1570</v>
      </c>
    </row>
    <row r="30" customFormat="false" ht="15" hidden="false" customHeight="true" outlineLevel="0" collapsed="false">
      <c r="A30" s="27" t="s">
        <v>1571</v>
      </c>
      <c r="B30" s="27" t="s">
        <v>1513</v>
      </c>
      <c r="C30" s="27" t="s">
        <v>1147</v>
      </c>
      <c r="D30" s="28" t="s">
        <v>576</v>
      </c>
      <c r="E30" s="27" t="s">
        <v>66</v>
      </c>
      <c r="F30" s="29" t="n">
        <v>46266</v>
      </c>
      <c r="G30" s="28" t="s">
        <v>1137</v>
      </c>
      <c r="H30" s="30"/>
      <c r="I30" s="28" t="s">
        <v>1521</v>
      </c>
      <c r="J30" s="27" t="s">
        <v>1572</v>
      </c>
    </row>
    <row r="31" customFormat="false" ht="15" hidden="false" customHeight="true" outlineLevel="0" collapsed="false">
      <c r="A31" s="27" t="s">
        <v>1266</v>
      </c>
      <c r="B31" s="27" t="s">
        <v>1513</v>
      </c>
      <c r="C31" s="27" t="s">
        <v>1147</v>
      </c>
      <c r="D31" s="28" t="s">
        <v>576</v>
      </c>
      <c r="E31" s="27" t="s">
        <v>66</v>
      </c>
      <c r="F31" s="29" t="n">
        <v>46267</v>
      </c>
      <c r="G31" s="28" t="s">
        <v>1518</v>
      </c>
      <c r="H31" s="30" t="n">
        <v>46294</v>
      </c>
      <c r="I31" s="28" t="s">
        <v>1521</v>
      </c>
      <c r="J31" s="27" t="s">
        <v>1573</v>
      </c>
    </row>
    <row r="32" customFormat="false" ht="15" hidden="false" customHeight="true" outlineLevel="0" collapsed="false">
      <c r="A32" s="27" t="s">
        <v>1574</v>
      </c>
      <c r="B32" s="27" t="s">
        <v>1513</v>
      </c>
      <c r="C32" s="27" t="s">
        <v>1147</v>
      </c>
      <c r="D32" s="28" t="s">
        <v>576</v>
      </c>
      <c r="E32" s="27" t="s">
        <v>71</v>
      </c>
      <c r="F32" s="29" t="n">
        <v>46268</v>
      </c>
      <c r="G32" s="28" t="s">
        <v>1518</v>
      </c>
      <c r="H32" s="30" t="n">
        <v>46303</v>
      </c>
      <c r="I32" s="28" t="s">
        <v>1515</v>
      </c>
      <c r="J32" s="27" t="s">
        <v>1575</v>
      </c>
    </row>
    <row r="33" customFormat="false" ht="15" hidden="false" customHeight="true" outlineLevel="0" collapsed="false">
      <c r="A33" s="27" t="s">
        <v>1576</v>
      </c>
      <c r="B33" s="27" t="s">
        <v>1513</v>
      </c>
      <c r="C33" s="27" t="s">
        <v>1147</v>
      </c>
      <c r="D33" s="28" t="s">
        <v>576</v>
      </c>
      <c r="E33" s="27" t="s">
        <v>1532</v>
      </c>
      <c r="F33" s="29"/>
      <c r="G33" s="28" t="s">
        <v>1518</v>
      </c>
      <c r="H33" s="30" t="n">
        <v>46294</v>
      </c>
      <c r="I33" s="28" t="s">
        <v>1521</v>
      </c>
      <c r="J33" s="27" t="s">
        <v>1577</v>
      </c>
    </row>
    <row r="34" customFormat="false" ht="15" hidden="false" customHeight="true" outlineLevel="0" collapsed="false">
      <c r="A34" s="27" t="s">
        <v>1279</v>
      </c>
      <c r="B34" s="27" t="s">
        <v>1513</v>
      </c>
      <c r="C34" s="27" t="s">
        <v>1147</v>
      </c>
      <c r="D34" s="28" t="s">
        <v>576</v>
      </c>
      <c r="E34" s="27" t="s">
        <v>66</v>
      </c>
      <c r="F34" s="29"/>
      <c r="G34" s="28" t="s">
        <v>1518</v>
      </c>
      <c r="H34" s="30" t="n">
        <v>46294</v>
      </c>
      <c r="I34" s="28" t="s">
        <v>1521</v>
      </c>
      <c r="J34" s="27" t="s">
        <v>1578</v>
      </c>
    </row>
    <row r="35" customFormat="false" ht="15" hidden="false" customHeight="true" outlineLevel="0" collapsed="false">
      <c r="A35" s="27" t="s">
        <v>1579</v>
      </c>
      <c r="B35" s="27" t="s">
        <v>1513</v>
      </c>
      <c r="C35" s="27" t="s">
        <v>1147</v>
      </c>
      <c r="D35" s="28" t="s">
        <v>576</v>
      </c>
      <c r="E35" s="27" t="s">
        <v>66</v>
      </c>
      <c r="F35" s="29" t="n">
        <v>46283</v>
      </c>
      <c r="G35" s="28" t="s">
        <v>1518</v>
      </c>
      <c r="H35" s="30" t="n">
        <v>46294</v>
      </c>
      <c r="I35" s="28" t="s">
        <v>1521</v>
      </c>
      <c r="J35" s="27" t="s">
        <v>1580</v>
      </c>
    </row>
    <row r="36" customFormat="false" ht="15" hidden="false" customHeight="true" outlineLevel="0" collapsed="false">
      <c r="A36" s="27" t="s">
        <v>1263</v>
      </c>
      <c r="B36" s="27" t="s">
        <v>1513</v>
      </c>
      <c r="C36" s="27" t="s">
        <v>1147</v>
      </c>
      <c r="D36" s="28" t="s">
        <v>576</v>
      </c>
      <c r="E36" s="27" t="s">
        <v>66</v>
      </c>
      <c r="F36" s="29" t="n">
        <v>46283</v>
      </c>
      <c r="G36" s="28" t="s">
        <v>1518</v>
      </c>
      <c r="H36" s="30" t="n">
        <v>46294</v>
      </c>
      <c r="I36" s="28" t="s">
        <v>1521</v>
      </c>
      <c r="J36" s="27" t="s">
        <v>1581</v>
      </c>
    </row>
    <row r="37" customFormat="false" ht="15" hidden="false" customHeight="true" outlineLevel="0" collapsed="false">
      <c r="A37" s="27" t="s">
        <v>1259</v>
      </c>
      <c r="B37" s="27" t="s">
        <v>1513</v>
      </c>
      <c r="C37" s="27" t="s">
        <v>1147</v>
      </c>
      <c r="D37" s="28" t="s">
        <v>576</v>
      </c>
      <c r="E37" s="27" t="s">
        <v>66</v>
      </c>
      <c r="F37" s="29" t="n">
        <v>46283</v>
      </c>
      <c r="G37" s="28" t="s">
        <v>1514</v>
      </c>
      <c r="H37" s="30"/>
      <c r="I37" s="28" t="s">
        <v>1521</v>
      </c>
      <c r="J37" s="27" t="s">
        <v>1582</v>
      </c>
    </row>
    <row r="38" customFormat="false" ht="15" hidden="false" customHeight="true" outlineLevel="0" collapsed="false">
      <c r="A38" s="27" t="s">
        <v>1583</v>
      </c>
      <c r="B38" s="27" t="s">
        <v>1513</v>
      </c>
      <c r="C38" s="27" t="s">
        <v>1147</v>
      </c>
      <c r="D38" s="28" t="s">
        <v>576</v>
      </c>
      <c r="E38" s="27" t="s">
        <v>66</v>
      </c>
      <c r="F38" s="29" t="n">
        <v>46283</v>
      </c>
      <c r="G38" s="28" t="s">
        <v>1518</v>
      </c>
      <c r="H38" s="30" t="n">
        <v>46294</v>
      </c>
      <c r="I38" s="28" t="s">
        <v>1521</v>
      </c>
      <c r="J38" s="27" t="s">
        <v>1584</v>
      </c>
    </row>
    <row r="39" customFormat="false" ht="15" hidden="false" customHeight="true" outlineLevel="0" collapsed="false">
      <c r="A39" s="27" t="s">
        <v>1585</v>
      </c>
      <c r="B39" s="27" t="s">
        <v>1513</v>
      </c>
      <c r="C39" s="27" t="s">
        <v>1147</v>
      </c>
      <c r="D39" s="28" t="s">
        <v>576</v>
      </c>
      <c r="E39" s="27" t="s">
        <v>66</v>
      </c>
      <c r="F39" s="29" t="n">
        <v>46283</v>
      </c>
      <c r="G39" s="28" t="s">
        <v>1518</v>
      </c>
      <c r="H39" s="30" t="n">
        <v>46294</v>
      </c>
      <c r="I39" s="28" t="s">
        <v>1521</v>
      </c>
      <c r="J39" s="27" t="s">
        <v>1586</v>
      </c>
    </row>
    <row r="40" customFormat="false" ht="15" hidden="false" customHeight="true" outlineLevel="0" collapsed="false">
      <c r="A40" s="27" t="s">
        <v>1587</v>
      </c>
      <c r="B40" s="27" t="s">
        <v>1513</v>
      </c>
      <c r="C40" s="27" t="s">
        <v>1147</v>
      </c>
      <c r="D40" s="28" t="s">
        <v>576</v>
      </c>
      <c r="E40" s="27" t="s">
        <v>66</v>
      </c>
      <c r="F40" s="29" t="n">
        <v>46283</v>
      </c>
      <c r="G40" s="28" t="s">
        <v>1518</v>
      </c>
      <c r="H40" s="30" t="n">
        <v>46303</v>
      </c>
      <c r="I40" s="28" t="s">
        <v>1521</v>
      </c>
      <c r="J40" s="27" t="s">
        <v>1588</v>
      </c>
    </row>
    <row r="41" customFormat="false" ht="15" hidden="false" customHeight="true" outlineLevel="0" collapsed="false">
      <c r="A41" s="27" t="s">
        <v>1589</v>
      </c>
      <c r="B41" s="27" t="s">
        <v>1513</v>
      </c>
      <c r="C41" s="27" t="s">
        <v>1147</v>
      </c>
      <c r="D41" s="28" t="s">
        <v>576</v>
      </c>
      <c r="E41" s="27" t="s">
        <v>66</v>
      </c>
      <c r="F41" s="29" t="n">
        <v>46283</v>
      </c>
      <c r="G41" s="28" t="s">
        <v>1514</v>
      </c>
      <c r="H41" s="30"/>
      <c r="I41" s="28" t="s">
        <v>1521</v>
      </c>
      <c r="J41" s="27" t="s">
        <v>1590</v>
      </c>
    </row>
    <row r="42" customFormat="false" ht="15" hidden="false" customHeight="true" outlineLevel="0" collapsed="false">
      <c r="A42" s="27" t="s">
        <v>1591</v>
      </c>
      <c r="B42" s="27" t="s">
        <v>1513</v>
      </c>
      <c r="C42" s="27" t="s">
        <v>1147</v>
      </c>
      <c r="D42" s="28" t="s">
        <v>576</v>
      </c>
      <c r="E42" s="27" t="s">
        <v>66</v>
      </c>
      <c r="F42" s="29" t="n">
        <v>46283</v>
      </c>
      <c r="G42" s="28" t="s">
        <v>1514</v>
      </c>
      <c r="H42" s="30"/>
      <c r="I42" s="28" t="s">
        <v>1521</v>
      </c>
      <c r="J42" s="27" t="s">
        <v>1592</v>
      </c>
    </row>
    <row r="43" customFormat="false" ht="15" hidden="false" customHeight="true" outlineLevel="0" collapsed="false">
      <c r="A43" s="27" t="s">
        <v>1593</v>
      </c>
      <c r="B43" s="27" t="s">
        <v>1513</v>
      </c>
      <c r="C43" s="27" t="s">
        <v>1147</v>
      </c>
      <c r="D43" s="28" t="s">
        <v>576</v>
      </c>
      <c r="E43" s="27" t="s">
        <v>66</v>
      </c>
      <c r="F43" s="29" t="n">
        <v>46283</v>
      </c>
      <c r="G43" s="28" t="s">
        <v>1514</v>
      </c>
      <c r="H43" s="30"/>
      <c r="I43" s="28" t="s">
        <v>1521</v>
      </c>
      <c r="J43" s="27" t="s">
        <v>1594</v>
      </c>
    </row>
    <row r="44" customFormat="false" ht="15" hidden="false" customHeight="true" outlineLevel="0" collapsed="false">
      <c r="A44" s="27" t="s">
        <v>1595</v>
      </c>
      <c r="B44" s="27" t="s">
        <v>1513</v>
      </c>
      <c r="C44" s="27" t="s">
        <v>1147</v>
      </c>
      <c r="D44" s="28" t="s">
        <v>576</v>
      </c>
      <c r="E44" s="27" t="s">
        <v>66</v>
      </c>
      <c r="F44" s="29" t="n">
        <v>46283</v>
      </c>
      <c r="G44" s="28" t="s">
        <v>1518</v>
      </c>
      <c r="H44" s="30" t="n">
        <v>46303</v>
      </c>
      <c r="I44" s="28" t="s">
        <v>1521</v>
      </c>
      <c r="J44" s="27" t="s">
        <v>1596</v>
      </c>
    </row>
    <row r="45" customFormat="false" ht="15" hidden="false" customHeight="true" outlineLevel="0" collapsed="false">
      <c r="A45" s="27" t="s">
        <v>1597</v>
      </c>
      <c r="B45" s="27" t="s">
        <v>1513</v>
      </c>
      <c r="C45" s="27" t="s">
        <v>1147</v>
      </c>
      <c r="D45" s="28" t="s">
        <v>576</v>
      </c>
      <c r="E45" s="27" t="s">
        <v>66</v>
      </c>
      <c r="F45" s="29" t="n">
        <v>46283</v>
      </c>
      <c r="G45" s="28" t="s">
        <v>1518</v>
      </c>
      <c r="H45" s="30" t="n">
        <v>46303</v>
      </c>
      <c r="I45" s="28" t="s">
        <v>1521</v>
      </c>
      <c r="J45" s="27" t="s">
        <v>1598</v>
      </c>
    </row>
    <row r="46" customFormat="false" ht="15" hidden="false" customHeight="true" outlineLevel="0" collapsed="false">
      <c r="A46" s="27" t="s">
        <v>1599</v>
      </c>
      <c r="B46" s="27" t="s">
        <v>1513</v>
      </c>
      <c r="C46" s="27" t="s">
        <v>1147</v>
      </c>
      <c r="D46" s="28" t="s">
        <v>576</v>
      </c>
      <c r="E46" s="27" t="s">
        <v>1524</v>
      </c>
      <c r="F46" s="29"/>
      <c r="G46" s="28" t="s">
        <v>1525</v>
      </c>
      <c r="H46" s="30"/>
      <c r="I46" s="28" t="s">
        <v>1521</v>
      </c>
      <c r="J46" s="27" t="s">
        <v>1600</v>
      </c>
    </row>
    <row r="47" customFormat="false" ht="15" hidden="false" customHeight="true" outlineLevel="0" collapsed="false">
      <c r="A47" s="27" t="s">
        <v>1601</v>
      </c>
      <c r="B47" s="27" t="s">
        <v>1513</v>
      </c>
      <c r="C47" s="27" t="s">
        <v>1147</v>
      </c>
      <c r="D47" s="28" t="s">
        <v>576</v>
      </c>
      <c r="E47" s="27" t="s">
        <v>1524</v>
      </c>
      <c r="F47" s="29"/>
      <c r="G47" s="28" t="s">
        <v>1525</v>
      </c>
      <c r="H47" s="30"/>
      <c r="I47" s="28" t="s">
        <v>1521</v>
      </c>
      <c r="J47" s="27" t="s">
        <v>1602</v>
      </c>
    </row>
    <row r="48" customFormat="false" ht="15" hidden="false" customHeight="true" outlineLevel="0" collapsed="false">
      <c r="A48" s="27" t="s">
        <v>1603</v>
      </c>
      <c r="B48" s="27" t="s">
        <v>1513</v>
      </c>
      <c r="C48" s="27" t="s">
        <v>1147</v>
      </c>
      <c r="D48" s="28" t="s">
        <v>576</v>
      </c>
      <c r="E48" s="27" t="s">
        <v>1524</v>
      </c>
      <c r="F48" s="29"/>
      <c r="G48" s="28" t="s">
        <v>1525</v>
      </c>
      <c r="H48" s="30"/>
      <c r="I48" s="28" t="s">
        <v>1521</v>
      </c>
      <c r="J48" s="27" t="s">
        <v>1604</v>
      </c>
    </row>
    <row r="49" customFormat="false" ht="15" hidden="false" customHeight="true" outlineLevel="0" collapsed="false">
      <c r="A49" s="27" t="s">
        <v>1605</v>
      </c>
      <c r="B49" s="27" t="s">
        <v>1513</v>
      </c>
      <c r="C49" s="27" t="s">
        <v>1147</v>
      </c>
      <c r="D49" s="28" t="s">
        <v>576</v>
      </c>
      <c r="E49" s="27" t="s">
        <v>1524</v>
      </c>
      <c r="F49" s="29"/>
      <c r="G49" s="28" t="s">
        <v>1525</v>
      </c>
      <c r="H49" s="30"/>
      <c r="I49" s="28" t="s">
        <v>1521</v>
      </c>
      <c r="J49" s="27" t="s">
        <v>1606</v>
      </c>
    </row>
    <row r="50" customFormat="false" ht="15" hidden="false" customHeight="true" outlineLevel="0" collapsed="false">
      <c r="A50" s="27" t="s">
        <v>1607</v>
      </c>
      <c r="B50" s="27" t="s">
        <v>1513</v>
      </c>
      <c r="C50" s="27" t="s">
        <v>1147</v>
      </c>
      <c r="D50" s="28" t="s">
        <v>576</v>
      </c>
      <c r="E50" s="27" t="s">
        <v>1524</v>
      </c>
      <c r="F50" s="29"/>
      <c r="G50" s="28" t="s">
        <v>1525</v>
      </c>
      <c r="H50" s="30"/>
      <c r="I50" s="28" t="s">
        <v>1521</v>
      </c>
      <c r="J50" s="27" t="s">
        <v>1608</v>
      </c>
    </row>
    <row r="51" customFormat="false" ht="15" hidden="false" customHeight="true" outlineLevel="0" collapsed="false">
      <c r="A51" s="27" t="s">
        <v>1368</v>
      </c>
      <c r="B51" s="27" t="s">
        <v>1513</v>
      </c>
      <c r="C51" s="27" t="s">
        <v>1147</v>
      </c>
      <c r="D51" s="28" t="s">
        <v>576</v>
      </c>
      <c r="E51" s="27" t="s">
        <v>1524</v>
      </c>
      <c r="F51" s="29"/>
      <c r="G51" s="28" t="s">
        <v>1525</v>
      </c>
      <c r="H51" s="30"/>
      <c r="I51" s="28" t="s">
        <v>1521</v>
      </c>
      <c r="J51" s="27" t="s">
        <v>1609</v>
      </c>
    </row>
    <row r="52" customFormat="false" ht="15" hidden="false" customHeight="true" outlineLevel="0" collapsed="false">
      <c r="A52" s="27" t="s">
        <v>1610</v>
      </c>
      <c r="B52" s="27" t="s">
        <v>1513</v>
      </c>
      <c r="C52" s="27" t="s">
        <v>1147</v>
      </c>
      <c r="D52" s="28" t="s">
        <v>576</v>
      </c>
      <c r="E52" s="27" t="s">
        <v>1524</v>
      </c>
      <c r="F52" s="29"/>
      <c r="G52" s="28" t="s">
        <v>1525</v>
      </c>
      <c r="H52" s="30"/>
      <c r="I52" s="28" t="s">
        <v>1521</v>
      </c>
      <c r="J52" s="27" t="s">
        <v>1611</v>
      </c>
    </row>
    <row r="53" customFormat="false" ht="15" hidden="false" customHeight="true" outlineLevel="0" collapsed="false">
      <c r="A53" s="27" t="s">
        <v>1612</v>
      </c>
      <c r="B53" s="27" t="s">
        <v>1513</v>
      </c>
      <c r="C53" s="27" t="s">
        <v>1147</v>
      </c>
      <c r="D53" s="28" t="s">
        <v>576</v>
      </c>
      <c r="E53" s="27" t="s">
        <v>66</v>
      </c>
      <c r="F53" s="29" t="n">
        <v>46283</v>
      </c>
      <c r="G53" s="28" t="s">
        <v>1518</v>
      </c>
      <c r="H53" s="30" t="n">
        <v>46303</v>
      </c>
      <c r="I53" s="28" t="s">
        <v>1521</v>
      </c>
      <c r="J53" s="27" t="s">
        <v>1613</v>
      </c>
    </row>
    <row r="54" customFormat="false" ht="15" hidden="false" customHeight="true" outlineLevel="0" collapsed="false">
      <c r="A54" s="27" t="s">
        <v>1364</v>
      </c>
      <c r="B54" s="27" t="s">
        <v>1513</v>
      </c>
      <c r="C54" s="27" t="s">
        <v>1147</v>
      </c>
      <c r="D54" s="28" t="s">
        <v>576</v>
      </c>
      <c r="E54" s="27" t="s">
        <v>1614</v>
      </c>
      <c r="F54" s="29" t="n">
        <v>46290</v>
      </c>
      <c r="G54" s="28" t="s">
        <v>1137</v>
      </c>
      <c r="H54" s="30"/>
      <c r="I54" s="28" t="s">
        <v>1515</v>
      </c>
      <c r="J54" s="27" t="s">
        <v>1615</v>
      </c>
    </row>
    <row r="55" customFormat="false" ht="15" hidden="false" customHeight="true" outlineLevel="0" collapsed="false">
      <c r="A55" s="27" t="s">
        <v>1616</v>
      </c>
      <c r="B55" s="27" t="s">
        <v>1513</v>
      </c>
      <c r="C55" s="27" t="s">
        <v>1147</v>
      </c>
      <c r="D55" s="28" t="s">
        <v>576</v>
      </c>
      <c r="E55" s="27" t="s">
        <v>1614</v>
      </c>
      <c r="F55" s="29" t="n">
        <v>46291</v>
      </c>
      <c r="G55" s="28" t="s">
        <v>1137</v>
      </c>
      <c r="H55" s="30"/>
      <c r="I55" s="28" t="s">
        <v>1515</v>
      </c>
      <c r="J55" s="27" t="s">
        <v>1617</v>
      </c>
    </row>
    <row r="56" customFormat="false" ht="15" hidden="false" customHeight="true" outlineLevel="0" collapsed="false">
      <c r="A56" s="27" t="s">
        <v>1618</v>
      </c>
      <c r="B56" s="27" t="s">
        <v>1513</v>
      </c>
      <c r="C56" s="27" t="s">
        <v>1619</v>
      </c>
      <c r="D56" s="28" t="s">
        <v>576</v>
      </c>
      <c r="E56" s="27" t="s">
        <v>66</v>
      </c>
      <c r="F56" s="29" t="n">
        <v>46258</v>
      </c>
      <c r="G56" s="28" t="s">
        <v>1518</v>
      </c>
      <c r="H56" s="30" t="n">
        <v>46303</v>
      </c>
      <c r="I56" s="28" t="s">
        <v>1521</v>
      </c>
      <c r="J56" s="27" t="s">
        <v>1620</v>
      </c>
    </row>
    <row r="57" customFormat="false" ht="15" hidden="false" customHeight="true" outlineLevel="0" collapsed="false">
      <c r="A57" s="27" t="s">
        <v>1621</v>
      </c>
      <c r="B57" s="27" t="s">
        <v>1513</v>
      </c>
      <c r="C57" s="27" t="s">
        <v>1619</v>
      </c>
      <c r="D57" s="28" t="s">
        <v>576</v>
      </c>
      <c r="E57" s="27" t="s">
        <v>66</v>
      </c>
      <c r="F57" s="29" t="n">
        <v>46258</v>
      </c>
      <c r="G57" s="28" t="s">
        <v>1518</v>
      </c>
      <c r="H57" s="30" t="n">
        <v>46295</v>
      </c>
      <c r="I57" s="28" t="s">
        <v>1521</v>
      </c>
      <c r="J57" s="27" t="s">
        <v>1622</v>
      </c>
    </row>
    <row r="58" customFormat="false" ht="15" hidden="false" customHeight="true" outlineLevel="0" collapsed="false">
      <c r="A58" s="27" t="s">
        <v>1623</v>
      </c>
      <c r="B58" s="27" t="s">
        <v>1513</v>
      </c>
      <c r="C58" s="27" t="s">
        <v>1619</v>
      </c>
      <c r="D58" s="28" t="s">
        <v>576</v>
      </c>
      <c r="E58" s="27" t="s">
        <v>66</v>
      </c>
      <c r="F58" s="29" t="n">
        <v>46258</v>
      </c>
      <c r="G58" s="28" t="s">
        <v>1518</v>
      </c>
      <c r="H58" s="30" t="n">
        <v>46295</v>
      </c>
      <c r="I58" s="28" t="s">
        <v>1521</v>
      </c>
      <c r="J58" s="27" t="s">
        <v>1624</v>
      </c>
    </row>
    <row r="59" customFormat="false" ht="15" hidden="false" customHeight="true" outlineLevel="0" collapsed="false">
      <c r="A59" s="27" t="s">
        <v>1625</v>
      </c>
      <c r="B59" s="27" t="s">
        <v>1513</v>
      </c>
      <c r="C59" s="27" t="s">
        <v>1619</v>
      </c>
      <c r="D59" s="28" t="s">
        <v>576</v>
      </c>
      <c r="E59" s="27" t="s">
        <v>1532</v>
      </c>
      <c r="F59" s="29" t="n">
        <v>46989</v>
      </c>
      <c r="G59" s="28" t="s">
        <v>1518</v>
      </c>
      <c r="H59" s="30" t="n">
        <v>46303</v>
      </c>
      <c r="I59" s="28" t="s">
        <v>1521</v>
      </c>
      <c r="J59" s="27" t="s">
        <v>1626</v>
      </c>
    </row>
    <row r="60" customFormat="false" ht="15" hidden="false" customHeight="true" outlineLevel="0" collapsed="false">
      <c r="A60" s="27" t="s">
        <v>1627</v>
      </c>
      <c r="B60" s="27" t="s">
        <v>1513</v>
      </c>
      <c r="C60" s="27" t="s">
        <v>1619</v>
      </c>
      <c r="D60" s="28" t="s">
        <v>576</v>
      </c>
      <c r="E60" s="27" t="s">
        <v>1532</v>
      </c>
      <c r="F60" s="29" t="n">
        <v>46258</v>
      </c>
      <c r="G60" s="28" t="s">
        <v>1518</v>
      </c>
      <c r="H60" s="30" t="n">
        <v>46295</v>
      </c>
      <c r="I60" s="28" t="s">
        <v>1521</v>
      </c>
      <c r="J60" s="27" t="s">
        <v>1628</v>
      </c>
    </row>
    <row r="61" customFormat="false" ht="15" hidden="false" customHeight="true" outlineLevel="0" collapsed="false">
      <c r="A61" s="27" t="s">
        <v>1629</v>
      </c>
      <c r="B61" s="27" t="s">
        <v>1513</v>
      </c>
      <c r="C61" s="27" t="s">
        <v>1619</v>
      </c>
      <c r="D61" s="28" t="s">
        <v>576</v>
      </c>
      <c r="E61" s="27" t="s">
        <v>1532</v>
      </c>
      <c r="F61" s="29" t="n">
        <v>46258</v>
      </c>
      <c r="G61" s="28" t="s">
        <v>1518</v>
      </c>
      <c r="H61" s="30" t="n">
        <v>46303</v>
      </c>
      <c r="I61" s="28" t="s">
        <v>1521</v>
      </c>
      <c r="J61" s="27" t="s">
        <v>1630</v>
      </c>
    </row>
    <row r="62" customFormat="false" ht="15" hidden="false" customHeight="true" outlineLevel="0" collapsed="false">
      <c r="A62" s="27" t="s">
        <v>1631</v>
      </c>
      <c r="B62" s="27" t="s">
        <v>1513</v>
      </c>
      <c r="C62" s="27" t="s">
        <v>1619</v>
      </c>
      <c r="D62" s="28" t="s">
        <v>576</v>
      </c>
      <c r="E62" s="27" t="s">
        <v>66</v>
      </c>
      <c r="F62" s="29" t="n">
        <v>46258</v>
      </c>
      <c r="G62" s="28" t="s">
        <v>1518</v>
      </c>
      <c r="H62" s="30" t="n">
        <v>46303</v>
      </c>
      <c r="I62" s="28" t="s">
        <v>1521</v>
      </c>
      <c r="J62" s="27" t="s">
        <v>1632</v>
      </c>
    </row>
    <row r="63" customFormat="false" ht="15" hidden="false" customHeight="true" outlineLevel="0" collapsed="false">
      <c r="A63" s="27" t="s">
        <v>1633</v>
      </c>
      <c r="B63" s="27" t="s">
        <v>1513</v>
      </c>
      <c r="C63" s="27" t="s">
        <v>1619</v>
      </c>
      <c r="D63" s="28" t="s">
        <v>576</v>
      </c>
      <c r="E63" s="27" t="s">
        <v>1532</v>
      </c>
      <c r="F63" s="29" t="n">
        <v>46258</v>
      </c>
      <c r="G63" s="28" t="s">
        <v>1518</v>
      </c>
      <c r="H63" s="30" t="n">
        <v>46295</v>
      </c>
      <c r="I63" s="28" t="s">
        <v>1521</v>
      </c>
      <c r="J63" s="27" t="s">
        <v>1634</v>
      </c>
    </row>
    <row r="64" customFormat="false" ht="15" hidden="false" customHeight="true" outlineLevel="0" collapsed="false">
      <c r="A64" s="27" t="s">
        <v>1635</v>
      </c>
      <c r="B64" s="27" t="s">
        <v>1513</v>
      </c>
      <c r="C64" s="27" t="s">
        <v>1619</v>
      </c>
      <c r="D64" s="28" t="s">
        <v>576</v>
      </c>
      <c r="E64" s="27" t="s">
        <v>71</v>
      </c>
      <c r="F64" s="29" t="n">
        <v>46258</v>
      </c>
      <c r="G64" s="28" t="s">
        <v>1518</v>
      </c>
      <c r="H64" s="30" t="n">
        <v>46303</v>
      </c>
      <c r="I64" s="28" t="s">
        <v>1515</v>
      </c>
      <c r="J64" s="27" t="s">
        <v>1636</v>
      </c>
    </row>
    <row r="65" customFormat="false" ht="15" hidden="false" customHeight="true" outlineLevel="0" collapsed="false">
      <c r="A65" s="27" t="s">
        <v>1637</v>
      </c>
      <c r="B65" s="27" t="s">
        <v>1513</v>
      </c>
      <c r="C65" s="27" t="s">
        <v>1619</v>
      </c>
      <c r="D65" s="28" t="s">
        <v>576</v>
      </c>
      <c r="E65" s="27" t="s">
        <v>71</v>
      </c>
      <c r="F65" s="29" t="n">
        <v>46258</v>
      </c>
      <c r="G65" s="28" t="s">
        <v>1518</v>
      </c>
      <c r="H65" s="30" t="n">
        <v>46303</v>
      </c>
      <c r="I65" s="28" t="s">
        <v>1515</v>
      </c>
      <c r="J65" s="27" t="s">
        <v>1638</v>
      </c>
    </row>
    <row r="66" customFormat="false" ht="15" hidden="false" customHeight="true" outlineLevel="0" collapsed="false">
      <c r="A66" s="27" t="s">
        <v>1639</v>
      </c>
      <c r="B66" s="27" t="s">
        <v>1513</v>
      </c>
      <c r="C66" s="27" t="s">
        <v>1619</v>
      </c>
      <c r="D66" s="28" t="s">
        <v>576</v>
      </c>
      <c r="E66" s="27" t="s">
        <v>71</v>
      </c>
      <c r="F66" s="29" t="n">
        <v>46989</v>
      </c>
      <c r="G66" s="28" t="s">
        <v>1518</v>
      </c>
      <c r="H66" s="30" t="n">
        <v>46303</v>
      </c>
      <c r="I66" s="28" t="s">
        <v>1515</v>
      </c>
      <c r="J66" s="27" t="s">
        <v>1640</v>
      </c>
    </row>
    <row r="67" customFormat="false" ht="15" hidden="false" customHeight="true" outlineLevel="0" collapsed="false">
      <c r="A67" s="27" t="s">
        <v>1348</v>
      </c>
      <c r="B67" s="27" t="s">
        <v>1513</v>
      </c>
      <c r="C67" s="27" t="s">
        <v>1619</v>
      </c>
      <c r="D67" s="28" t="s">
        <v>576</v>
      </c>
      <c r="E67" s="27" t="s">
        <v>71</v>
      </c>
      <c r="F67" s="29" t="n">
        <v>46258</v>
      </c>
      <c r="G67" s="28" t="s">
        <v>1137</v>
      </c>
      <c r="H67" s="30"/>
      <c r="I67" s="28" t="s">
        <v>1515</v>
      </c>
      <c r="J67" s="27" t="s">
        <v>1641</v>
      </c>
    </row>
    <row r="68" customFormat="false" ht="15" hidden="false" customHeight="true" outlineLevel="0" collapsed="false">
      <c r="A68" s="27" t="s">
        <v>1642</v>
      </c>
      <c r="B68" s="27" t="s">
        <v>1513</v>
      </c>
      <c r="C68" s="27" t="s">
        <v>1619</v>
      </c>
      <c r="D68" s="28" t="s">
        <v>576</v>
      </c>
      <c r="E68" s="27" t="s">
        <v>71</v>
      </c>
      <c r="F68" s="29" t="n">
        <v>46258</v>
      </c>
      <c r="G68" s="28" t="s">
        <v>1514</v>
      </c>
      <c r="H68" s="30"/>
      <c r="I68" s="28" t="s">
        <v>1515</v>
      </c>
      <c r="J68" s="27" t="s">
        <v>1643</v>
      </c>
    </row>
    <row r="69" customFormat="false" ht="15" hidden="false" customHeight="true" outlineLevel="0" collapsed="false">
      <c r="A69" s="27" t="s">
        <v>1330</v>
      </c>
      <c r="B69" s="27" t="s">
        <v>1513</v>
      </c>
      <c r="C69" s="27" t="s">
        <v>1619</v>
      </c>
      <c r="D69" s="28" t="s">
        <v>576</v>
      </c>
      <c r="E69" s="27" t="s">
        <v>71</v>
      </c>
      <c r="F69" s="29" t="n">
        <v>46258</v>
      </c>
      <c r="G69" s="28" t="s">
        <v>1514</v>
      </c>
      <c r="H69" s="30"/>
      <c r="I69" s="28" t="s">
        <v>1515</v>
      </c>
      <c r="J69" s="27" t="s">
        <v>1644</v>
      </c>
    </row>
    <row r="70" customFormat="false" ht="15" hidden="false" customHeight="true" outlineLevel="0" collapsed="false">
      <c r="A70" s="27" t="s">
        <v>1320</v>
      </c>
      <c r="B70" s="27" t="s">
        <v>1513</v>
      </c>
      <c r="C70" s="27" t="s">
        <v>1619</v>
      </c>
      <c r="D70" s="28" t="s">
        <v>576</v>
      </c>
      <c r="E70" s="27" t="s">
        <v>66</v>
      </c>
      <c r="F70" s="29" t="n">
        <v>46258</v>
      </c>
      <c r="G70" s="28" t="s">
        <v>1137</v>
      </c>
      <c r="H70" s="30"/>
      <c r="I70" s="28" t="s">
        <v>1521</v>
      </c>
      <c r="J70" s="27" t="s">
        <v>1645</v>
      </c>
    </row>
    <row r="71" customFormat="false" ht="15" hidden="false" customHeight="true" outlineLevel="0" collapsed="false">
      <c r="A71" s="27" t="s">
        <v>1646</v>
      </c>
      <c r="B71" s="27" t="s">
        <v>1513</v>
      </c>
      <c r="C71" s="27" t="s">
        <v>1619</v>
      </c>
      <c r="D71" s="28" t="s">
        <v>576</v>
      </c>
      <c r="E71" s="27" t="s">
        <v>66</v>
      </c>
      <c r="F71" s="29" t="n">
        <v>46258</v>
      </c>
      <c r="G71" s="28" t="s">
        <v>1137</v>
      </c>
      <c r="H71" s="30"/>
      <c r="I71" s="28" t="s">
        <v>1521</v>
      </c>
      <c r="J71" s="27" t="s">
        <v>1647</v>
      </c>
    </row>
    <row r="72" customFormat="false" ht="15" hidden="false" customHeight="true" outlineLevel="0" collapsed="false">
      <c r="A72" s="27" t="s">
        <v>1648</v>
      </c>
      <c r="B72" s="27" t="s">
        <v>1513</v>
      </c>
      <c r="C72" s="27" t="s">
        <v>1619</v>
      </c>
      <c r="D72" s="28" t="s">
        <v>576</v>
      </c>
      <c r="E72" s="27" t="s">
        <v>66</v>
      </c>
      <c r="F72" s="29" t="n">
        <v>46258</v>
      </c>
      <c r="G72" s="28" t="s">
        <v>1514</v>
      </c>
      <c r="H72" s="30"/>
      <c r="I72" s="28" t="s">
        <v>1521</v>
      </c>
      <c r="J72" s="27" t="s">
        <v>1649</v>
      </c>
    </row>
    <row r="73" customFormat="false" ht="15" hidden="false" customHeight="true" outlineLevel="0" collapsed="false">
      <c r="A73" s="27" t="s">
        <v>1650</v>
      </c>
      <c r="B73" s="27" t="s">
        <v>1513</v>
      </c>
      <c r="C73" s="27" t="s">
        <v>1619</v>
      </c>
      <c r="D73" s="28" t="s">
        <v>576</v>
      </c>
      <c r="E73" s="27" t="s">
        <v>66</v>
      </c>
      <c r="F73" s="29" t="n">
        <v>46258</v>
      </c>
      <c r="G73" s="28" t="s">
        <v>1514</v>
      </c>
      <c r="H73" s="30"/>
      <c r="I73" s="28" t="s">
        <v>1521</v>
      </c>
      <c r="J73" s="27" t="s">
        <v>1651</v>
      </c>
    </row>
    <row r="74" customFormat="false" ht="15" hidden="false" customHeight="true" outlineLevel="0" collapsed="false">
      <c r="A74" s="27" t="s">
        <v>1652</v>
      </c>
      <c r="B74" s="27" t="s">
        <v>1513</v>
      </c>
      <c r="C74" s="27" t="s">
        <v>1619</v>
      </c>
      <c r="D74" s="28" t="s">
        <v>576</v>
      </c>
      <c r="E74" s="27" t="s">
        <v>66</v>
      </c>
      <c r="F74" s="29" t="n">
        <v>46258</v>
      </c>
      <c r="G74" s="28" t="s">
        <v>1518</v>
      </c>
      <c r="H74" s="30" t="n">
        <v>46295</v>
      </c>
      <c r="I74" s="28" t="s">
        <v>1521</v>
      </c>
      <c r="J74" s="27" t="s">
        <v>1653</v>
      </c>
    </row>
    <row r="75" customFormat="false" ht="15" hidden="false" customHeight="true" outlineLevel="0" collapsed="false">
      <c r="A75" s="27" t="s">
        <v>1654</v>
      </c>
      <c r="B75" s="27" t="s">
        <v>1513</v>
      </c>
      <c r="C75" s="27" t="s">
        <v>1619</v>
      </c>
      <c r="D75" s="28" t="s">
        <v>576</v>
      </c>
      <c r="E75" s="27" t="s">
        <v>66</v>
      </c>
      <c r="F75" s="29" t="n">
        <v>46258</v>
      </c>
      <c r="G75" s="28" t="s">
        <v>1518</v>
      </c>
      <c r="H75" s="30" t="n">
        <v>46295</v>
      </c>
      <c r="I75" s="28" t="s">
        <v>1521</v>
      </c>
      <c r="J75" s="27" t="s">
        <v>1655</v>
      </c>
    </row>
    <row r="76" customFormat="false" ht="15" hidden="false" customHeight="true" outlineLevel="0" collapsed="false">
      <c r="A76" s="27" t="s">
        <v>1656</v>
      </c>
      <c r="B76" s="27" t="s">
        <v>1513</v>
      </c>
      <c r="C76" s="27" t="s">
        <v>1619</v>
      </c>
      <c r="D76" s="28" t="s">
        <v>576</v>
      </c>
      <c r="E76" s="27" t="s">
        <v>66</v>
      </c>
      <c r="F76" s="29" t="n">
        <v>46273</v>
      </c>
      <c r="G76" s="28" t="s">
        <v>1518</v>
      </c>
      <c r="H76" s="30" t="n">
        <v>46295</v>
      </c>
      <c r="I76" s="28" t="s">
        <v>1521</v>
      </c>
      <c r="J76" s="27" t="s">
        <v>1657</v>
      </c>
    </row>
    <row r="77" customFormat="false" ht="15" hidden="false" customHeight="true" outlineLevel="0" collapsed="false">
      <c r="A77" s="27" t="s">
        <v>1658</v>
      </c>
      <c r="B77" s="27" t="s">
        <v>1513</v>
      </c>
      <c r="C77" s="27" t="s">
        <v>1619</v>
      </c>
      <c r="D77" s="28" t="s">
        <v>576</v>
      </c>
      <c r="E77" s="27" t="s">
        <v>71</v>
      </c>
      <c r="F77" s="29" t="n">
        <v>46273</v>
      </c>
      <c r="G77" s="28" t="s">
        <v>1518</v>
      </c>
      <c r="H77" s="30" t="n">
        <v>46295</v>
      </c>
      <c r="I77" s="28" t="s">
        <v>1515</v>
      </c>
      <c r="J77" s="27" t="s">
        <v>1659</v>
      </c>
    </row>
    <row r="78" customFormat="false" ht="15" hidden="false" customHeight="true" outlineLevel="0" collapsed="false">
      <c r="A78" s="27" t="s">
        <v>1333</v>
      </c>
      <c r="B78" s="27" t="s">
        <v>1513</v>
      </c>
      <c r="C78" s="27" t="s">
        <v>1619</v>
      </c>
      <c r="D78" s="28" t="s">
        <v>576</v>
      </c>
      <c r="E78" s="27" t="s">
        <v>1532</v>
      </c>
      <c r="F78" s="29" t="n">
        <v>46273</v>
      </c>
      <c r="G78" s="28" t="s">
        <v>1518</v>
      </c>
      <c r="H78" s="30" t="n">
        <v>46295</v>
      </c>
      <c r="I78" s="28" t="s">
        <v>1521</v>
      </c>
      <c r="J78" s="27" t="s">
        <v>1660</v>
      </c>
    </row>
    <row r="79" customFormat="false" ht="15" hidden="false" customHeight="true" outlineLevel="0" collapsed="false">
      <c r="A79" s="27" t="s">
        <v>1661</v>
      </c>
      <c r="B79" s="27" t="s">
        <v>1513</v>
      </c>
      <c r="C79" s="27" t="s">
        <v>1619</v>
      </c>
      <c r="D79" s="28" t="s">
        <v>576</v>
      </c>
      <c r="E79" s="27" t="s">
        <v>66</v>
      </c>
      <c r="F79" s="29" t="n">
        <v>47004</v>
      </c>
      <c r="G79" s="28" t="s">
        <v>1518</v>
      </c>
      <c r="H79" s="30" t="n">
        <v>46303</v>
      </c>
      <c r="I79" s="28" t="s">
        <v>1521</v>
      </c>
      <c r="J79" s="27" t="s">
        <v>1662</v>
      </c>
    </row>
    <row r="80" customFormat="false" ht="15" hidden="false" customHeight="true" outlineLevel="0" collapsed="false">
      <c r="A80" s="27" t="s">
        <v>1663</v>
      </c>
      <c r="B80" s="27" t="s">
        <v>1513</v>
      </c>
      <c r="C80" s="27" t="s">
        <v>1619</v>
      </c>
      <c r="D80" s="28" t="s">
        <v>576</v>
      </c>
      <c r="E80" s="27" t="s">
        <v>66</v>
      </c>
      <c r="F80" s="29" t="n">
        <v>47369</v>
      </c>
      <c r="G80" s="28" t="s">
        <v>1518</v>
      </c>
      <c r="H80" s="30" t="n">
        <v>46303</v>
      </c>
      <c r="I80" s="28" t="s">
        <v>1521</v>
      </c>
      <c r="J80" s="27" t="s">
        <v>1664</v>
      </c>
    </row>
    <row r="81" customFormat="false" ht="15" hidden="false" customHeight="true" outlineLevel="0" collapsed="false">
      <c r="A81" s="27" t="s">
        <v>1665</v>
      </c>
      <c r="B81" s="27" t="s">
        <v>1513</v>
      </c>
      <c r="C81" s="27" t="s">
        <v>1619</v>
      </c>
      <c r="D81" s="28" t="s">
        <v>576</v>
      </c>
      <c r="E81" s="27" t="s">
        <v>71</v>
      </c>
      <c r="F81" s="29" t="n">
        <v>47734</v>
      </c>
      <c r="G81" s="28" t="s">
        <v>1518</v>
      </c>
      <c r="H81" s="30" t="n">
        <v>46303</v>
      </c>
      <c r="I81" s="28" t="s">
        <v>1515</v>
      </c>
      <c r="J81" s="27" t="s">
        <v>1666</v>
      </c>
    </row>
    <row r="82" customFormat="false" ht="15" hidden="false" customHeight="true" outlineLevel="0" collapsed="false">
      <c r="A82" s="27" t="s">
        <v>1667</v>
      </c>
      <c r="B82" s="27" t="s">
        <v>1513</v>
      </c>
      <c r="C82" s="27" t="s">
        <v>1619</v>
      </c>
      <c r="D82" s="28" t="s">
        <v>576</v>
      </c>
      <c r="E82" s="27" t="s">
        <v>66</v>
      </c>
      <c r="F82" s="29" t="n">
        <v>46274</v>
      </c>
      <c r="G82" s="28" t="s">
        <v>1518</v>
      </c>
      <c r="H82" s="30" t="n">
        <v>46295</v>
      </c>
      <c r="I82" s="28" t="s">
        <v>1521</v>
      </c>
      <c r="J82" s="27" t="s">
        <v>1668</v>
      </c>
    </row>
    <row r="83" customFormat="false" ht="15" hidden="false" customHeight="true" outlineLevel="0" collapsed="false">
      <c r="A83" s="27" t="s">
        <v>1669</v>
      </c>
      <c r="B83" s="27" t="s">
        <v>1513</v>
      </c>
      <c r="C83" s="27" t="s">
        <v>1619</v>
      </c>
      <c r="D83" s="28" t="s">
        <v>576</v>
      </c>
      <c r="E83" s="27" t="s">
        <v>1532</v>
      </c>
      <c r="F83" s="29" t="n">
        <v>46274</v>
      </c>
      <c r="G83" s="28" t="s">
        <v>1518</v>
      </c>
      <c r="H83" s="30" t="n">
        <v>46295</v>
      </c>
      <c r="I83" s="28" t="s">
        <v>1521</v>
      </c>
      <c r="J83" s="27" t="s">
        <v>1670</v>
      </c>
    </row>
    <row r="84" customFormat="false" ht="15" hidden="false" customHeight="true" outlineLevel="0" collapsed="false">
      <c r="A84" s="27" t="s">
        <v>1671</v>
      </c>
      <c r="B84" s="27" t="s">
        <v>1513</v>
      </c>
      <c r="C84" s="27" t="s">
        <v>1619</v>
      </c>
      <c r="D84" s="28" t="s">
        <v>576</v>
      </c>
      <c r="E84" s="27" t="s">
        <v>71</v>
      </c>
      <c r="F84" s="29" t="n">
        <v>46276</v>
      </c>
      <c r="G84" s="28" t="s">
        <v>1518</v>
      </c>
      <c r="H84" s="30" t="n">
        <v>46295</v>
      </c>
      <c r="I84" s="28" t="s">
        <v>1515</v>
      </c>
      <c r="J84" s="27" t="s">
        <v>1672</v>
      </c>
    </row>
    <row r="85" customFormat="false" ht="15" hidden="false" customHeight="true" outlineLevel="0" collapsed="false">
      <c r="A85" s="27" t="s">
        <v>1673</v>
      </c>
      <c r="B85" s="27" t="s">
        <v>1513</v>
      </c>
      <c r="C85" s="27" t="s">
        <v>1619</v>
      </c>
      <c r="D85" s="28" t="s">
        <v>576</v>
      </c>
      <c r="E85" s="27" t="s">
        <v>66</v>
      </c>
      <c r="F85" s="29" t="n">
        <v>46276</v>
      </c>
      <c r="G85" s="28" t="s">
        <v>1514</v>
      </c>
      <c r="H85" s="30"/>
      <c r="I85" s="28" t="s">
        <v>1521</v>
      </c>
      <c r="J85" s="27" t="s">
        <v>1674</v>
      </c>
    </row>
    <row r="86" customFormat="false" ht="15" hidden="false" customHeight="true" outlineLevel="0" collapsed="false">
      <c r="A86" s="27" t="s">
        <v>1675</v>
      </c>
      <c r="B86" s="27" t="s">
        <v>1513</v>
      </c>
      <c r="C86" s="27" t="s">
        <v>1619</v>
      </c>
      <c r="D86" s="28" t="s">
        <v>576</v>
      </c>
      <c r="E86" s="27" t="s">
        <v>71</v>
      </c>
      <c r="F86" s="29" t="n">
        <v>46276</v>
      </c>
      <c r="G86" s="28" t="s">
        <v>1514</v>
      </c>
      <c r="H86" s="30"/>
      <c r="I86" s="28" t="s">
        <v>1515</v>
      </c>
      <c r="J86" s="27" t="s">
        <v>1676</v>
      </c>
    </row>
    <row r="87" customFormat="false" ht="15" hidden="false" customHeight="true" outlineLevel="0" collapsed="false">
      <c r="A87" s="27" t="s">
        <v>1677</v>
      </c>
      <c r="B87" s="27" t="s">
        <v>1513</v>
      </c>
      <c r="C87" s="27" t="s">
        <v>1619</v>
      </c>
      <c r="D87" s="28" t="s">
        <v>576</v>
      </c>
      <c r="E87" s="27" t="s">
        <v>71</v>
      </c>
      <c r="F87" s="29" t="n">
        <v>46280</v>
      </c>
      <c r="G87" s="28" t="s">
        <v>1518</v>
      </c>
      <c r="H87" s="30" t="n">
        <v>46303</v>
      </c>
      <c r="I87" s="28" t="s">
        <v>1515</v>
      </c>
      <c r="J87" s="27" t="s">
        <v>1678</v>
      </c>
    </row>
    <row r="88" customFormat="false" ht="15" hidden="false" customHeight="true" outlineLevel="0" collapsed="false">
      <c r="A88" s="27" t="s">
        <v>1679</v>
      </c>
      <c r="B88" s="27" t="s">
        <v>1513</v>
      </c>
      <c r="C88" s="27" t="s">
        <v>1619</v>
      </c>
      <c r="D88" s="28" t="s">
        <v>576</v>
      </c>
      <c r="E88" s="27" t="s">
        <v>71</v>
      </c>
      <c r="F88" s="29" t="n">
        <v>46280</v>
      </c>
      <c r="G88" s="28" t="s">
        <v>1518</v>
      </c>
      <c r="H88" s="30" t="n">
        <v>46303</v>
      </c>
      <c r="I88" s="28" t="s">
        <v>1515</v>
      </c>
      <c r="J88" s="27" t="s">
        <v>1680</v>
      </c>
    </row>
    <row r="89" customFormat="false" ht="15" hidden="false" customHeight="true" outlineLevel="0" collapsed="false">
      <c r="A89" s="27" t="s">
        <v>1681</v>
      </c>
      <c r="B89" s="27" t="s">
        <v>1513</v>
      </c>
      <c r="C89" s="27" t="s">
        <v>1619</v>
      </c>
      <c r="D89" s="28" t="s">
        <v>576</v>
      </c>
      <c r="E89" s="27" t="s">
        <v>71</v>
      </c>
      <c r="F89" s="29" t="n">
        <v>46280</v>
      </c>
      <c r="G89" s="28" t="s">
        <v>1518</v>
      </c>
      <c r="H89" s="30" t="n">
        <v>46303</v>
      </c>
      <c r="I89" s="28" t="s">
        <v>1515</v>
      </c>
      <c r="J89" s="27" t="s">
        <v>1682</v>
      </c>
    </row>
    <row r="90" customFormat="false" ht="15" hidden="false" customHeight="true" outlineLevel="0" collapsed="false">
      <c r="A90" s="27" t="s">
        <v>1683</v>
      </c>
      <c r="B90" s="27" t="s">
        <v>1513</v>
      </c>
      <c r="C90" s="27" t="s">
        <v>1619</v>
      </c>
      <c r="D90" s="28" t="s">
        <v>576</v>
      </c>
      <c r="E90" s="27" t="s">
        <v>71</v>
      </c>
      <c r="F90" s="29" t="n">
        <v>46280</v>
      </c>
      <c r="G90" s="28" t="s">
        <v>1518</v>
      </c>
      <c r="H90" s="30" t="n">
        <v>46303</v>
      </c>
      <c r="I90" s="28" t="s">
        <v>1515</v>
      </c>
      <c r="J90" s="27" t="s">
        <v>1684</v>
      </c>
    </row>
    <row r="91" customFormat="false" ht="15" hidden="false" customHeight="true" outlineLevel="0" collapsed="false">
      <c r="A91" s="27" t="s">
        <v>1685</v>
      </c>
      <c r="B91" s="27" t="s">
        <v>1513</v>
      </c>
      <c r="C91" s="27" t="s">
        <v>1619</v>
      </c>
      <c r="D91" s="28" t="s">
        <v>576</v>
      </c>
      <c r="E91" s="27" t="s">
        <v>71</v>
      </c>
      <c r="F91" s="29" t="n">
        <v>46280</v>
      </c>
      <c r="G91" s="28" t="s">
        <v>1518</v>
      </c>
      <c r="H91" s="30" t="n">
        <v>46303</v>
      </c>
      <c r="I91" s="28" t="s">
        <v>1515</v>
      </c>
      <c r="J91" s="27" t="s">
        <v>1686</v>
      </c>
    </row>
    <row r="92" customFormat="false" ht="15" hidden="false" customHeight="true" outlineLevel="0" collapsed="false">
      <c r="A92" s="27" t="s">
        <v>1687</v>
      </c>
      <c r="B92" s="27" t="s">
        <v>1513</v>
      </c>
      <c r="C92" s="27" t="s">
        <v>1619</v>
      </c>
      <c r="D92" s="28" t="s">
        <v>576</v>
      </c>
      <c r="E92" s="27" t="s">
        <v>71</v>
      </c>
      <c r="F92" s="29" t="n">
        <v>46280</v>
      </c>
      <c r="G92" s="28" t="s">
        <v>1518</v>
      </c>
      <c r="H92" s="30" t="n">
        <v>46303</v>
      </c>
      <c r="I92" s="28" t="s">
        <v>1515</v>
      </c>
      <c r="J92" s="27" t="s">
        <v>1688</v>
      </c>
    </row>
    <row r="93" customFormat="false" ht="15" hidden="false" customHeight="true" outlineLevel="0" collapsed="false">
      <c r="A93" s="27" t="s">
        <v>1689</v>
      </c>
      <c r="B93" s="27" t="s">
        <v>1513</v>
      </c>
      <c r="C93" s="27" t="s">
        <v>1619</v>
      </c>
      <c r="D93" s="28" t="s">
        <v>576</v>
      </c>
      <c r="E93" s="27" t="s">
        <v>71</v>
      </c>
      <c r="F93" s="29" t="n">
        <v>46280</v>
      </c>
      <c r="G93" s="28" t="s">
        <v>1518</v>
      </c>
      <c r="H93" s="30" t="n">
        <v>46303</v>
      </c>
      <c r="I93" s="28" t="s">
        <v>1515</v>
      </c>
      <c r="J93" s="27" t="s">
        <v>1690</v>
      </c>
    </row>
    <row r="94" customFormat="false" ht="15" hidden="false" customHeight="true" outlineLevel="0" collapsed="false">
      <c r="A94" s="27" t="s">
        <v>1691</v>
      </c>
      <c r="B94" s="27" t="s">
        <v>1513</v>
      </c>
      <c r="C94" s="27" t="s">
        <v>1619</v>
      </c>
      <c r="D94" s="28" t="s">
        <v>576</v>
      </c>
      <c r="E94" s="27" t="s">
        <v>71</v>
      </c>
      <c r="F94" s="29" t="n">
        <v>46280</v>
      </c>
      <c r="G94" s="28" t="s">
        <v>1518</v>
      </c>
      <c r="H94" s="30" t="n">
        <v>46303</v>
      </c>
      <c r="I94" s="28" t="s">
        <v>1515</v>
      </c>
      <c r="J94" s="27" t="s">
        <v>1692</v>
      </c>
    </row>
    <row r="95" customFormat="false" ht="15" hidden="false" customHeight="true" outlineLevel="0" collapsed="false">
      <c r="A95" s="27" t="s">
        <v>1693</v>
      </c>
      <c r="B95" s="27" t="s">
        <v>1513</v>
      </c>
      <c r="C95" s="27" t="s">
        <v>1619</v>
      </c>
      <c r="D95" s="28" t="s">
        <v>576</v>
      </c>
      <c r="E95" s="27" t="s">
        <v>71</v>
      </c>
      <c r="F95" s="29" t="n">
        <v>46281</v>
      </c>
      <c r="G95" s="28" t="s">
        <v>1518</v>
      </c>
      <c r="H95" s="30" t="n">
        <v>46303</v>
      </c>
      <c r="I95" s="28" t="s">
        <v>1515</v>
      </c>
      <c r="J95" s="27" t="s">
        <v>1694</v>
      </c>
    </row>
    <row r="96" customFormat="false" ht="15" hidden="false" customHeight="true" outlineLevel="0" collapsed="false">
      <c r="A96" s="27" t="s">
        <v>1695</v>
      </c>
      <c r="B96" s="27" t="s">
        <v>1513</v>
      </c>
      <c r="C96" s="27" t="s">
        <v>1619</v>
      </c>
      <c r="D96" s="28" t="s">
        <v>576</v>
      </c>
      <c r="E96" s="27" t="s">
        <v>71</v>
      </c>
      <c r="F96" s="29" t="n">
        <v>46281</v>
      </c>
      <c r="G96" s="28" t="s">
        <v>1518</v>
      </c>
      <c r="H96" s="30" t="n">
        <v>46303</v>
      </c>
      <c r="I96" s="28" t="s">
        <v>1515</v>
      </c>
      <c r="J96" s="27" t="s">
        <v>1696</v>
      </c>
    </row>
    <row r="97" customFormat="false" ht="15" hidden="false" customHeight="true" outlineLevel="0" collapsed="false">
      <c r="A97" s="27" t="s">
        <v>1697</v>
      </c>
      <c r="B97" s="27" t="s">
        <v>1513</v>
      </c>
      <c r="C97" s="27" t="s">
        <v>1619</v>
      </c>
      <c r="D97" s="28" t="s">
        <v>576</v>
      </c>
      <c r="E97" s="27" t="s">
        <v>71</v>
      </c>
      <c r="F97" s="29" t="n">
        <v>46281</v>
      </c>
      <c r="G97" s="28" t="s">
        <v>1518</v>
      </c>
      <c r="H97" s="30" t="n">
        <v>46303</v>
      </c>
      <c r="I97" s="28" t="s">
        <v>1515</v>
      </c>
      <c r="J97" s="27" t="s">
        <v>1698</v>
      </c>
    </row>
    <row r="98" customFormat="false" ht="15" hidden="false" customHeight="true" outlineLevel="0" collapsed="false">
      <c r="A98" s="27" t="s">
        <v>1699</v>
      </c>
      <c r="B98" s="27" t="s">
        <v>1513</v>
      </c>
      <c r="C98" s="27" t="s">
        <v>1619</v>
      </c>
      <c r="D98" s="28" t="s">
        <v>576</v>
      </c>
      <c r="E98" s="27" t="s">
        <v>71</v>
      </c>
      <c r="F98" s="29" t="n">
        <v>46281</v>
      </c>
      <c r="G98" s="28" t="s">
        <v>1137</v>
      </c>
      <c r="H98" s="30"/>
      <c r="I98" s="28" t="s">
        <v>1515</v>
      </c>
      <c r="J98" s="27" t="s">
        <v>1700</v>
      </c>
    </row>
    <row r="99" customFormat="false" ht="15" hidden="false" customHeight="true" outlineLevel="0" collapsed="false">
      <c r="A99" s="27" t="s">
        <v>1701</v>
      </c>
      <c r="B99" s="27" t="s">
        <v>1513</v>
      </c>
      <c r="C99" s="27" t="s">
        <v>1619</v>
      </c>
      <c r="D99" s="28" t="s">
        <v>576</v>
      </c>
      <c r="E99" s="27" t="s">
        <v>1532</v>
      </c>
      <c r="F99" s="29" t="n">
        <v>46281</v>
      </c>
      <c r="G99" s="28" t="s">
        <v>1518</v>
      </c>
      <c r="H99" s="30" t="n">
        <v>46303</v>
      </c>
      <c r="I99" s="28" t="s">
        <v>1521</v>
      </c>
      <c r="J99" s="27" t="s">
        <v>1702</v>
      </c>
    </row>
    <row r="100" customFormat="false" ht="15" hidden="false" customHeight="true" outlineLevel="0" collapsed="false">
      <c r="A100" s="27" t="s">
        <v>1703</v>
      </c>
      <c r="B100" s="27" t="s">
        <v>1513</v>
      </c>
      <c r="C100" s="27" t="s">
        <v>1619</v>
      </c>
      <c r="D100" s="28" t="s">
        <v>576</v>
      </c>
      <c r="E100" s="27" t="s">
        <v>71</v>
      </c>
      <c r="F100" s="29" t="n">
        <v>46281</v>
      </c>
      <c r="G100" s="28" t="s">
        <v>1518</v>
      </c>
      <c r="H100" s="30" t="n">
        <v>46303</v>
      </c>
      <c r="I100" s="28" t="s">
        <v>1515</v>
      </c>
      <c r="J100" s="27" t="s">
        <v>1704</v>
      </c>
    </row>
    <row r="101" customFormat="false" ht="15" hidden="false" customHeight="true" outlineLevel="0" collapsed="false">
      <c r="A101" s="27" t="s">
        <v>1705</v>
      </c>
      <c r="B101" s="27" t="s">
        <v>1513</v>
      </c>
      <c r="C101" s="27" t="s">
        <v>1619</v>
      </c>
      <c r="D101" s="28" t="s">
        <v>576</v>
      </c>
      <c r="E101" s="27" t="s">
        <v>71</v>
      </c>
      <c r="F101" s="29" t="n">
        <v>46281</v>
      </c>
      <c r="G101" s="28" t="s">
        <v>1518</v>
      </c>
      <c r="H101" s="30" t="n">
        <v>46303</v>
      </c>
      <c r="I101" s="28" t="s">
        <v>1515</v>
      </c>
      <c r="J101" s="27" t="s">
        <v>1706</v>
      </c>
    </row>
    <row r="102" customFormat="false" ht="15" hidden="false" customHeight="true" outlineLevel="0" collapsed="false">
      <c r="A102" s="27" t="s">
        <v>1707</v>
      </c>
      <c r="B102" s="27" t="s">
        <v>1513</v>
      </c>
      <c r="C102" s="27" t="s">
        <v>1619</v>
      </c>
      <c r="D102" s="28" t="s">
        <v>576</v>
      </c>
      <c r="E102" s="27" t="s">
        <v>71</v>
      </c>
      <c r="F102" s="29" t="n">
        <v>46281</v>
      </c>
      <c r="G102" s="28" t="s">
        <v>1518</v>
      </c>
      <c r="H102" s="30" t="n">
        <v>46303</v>
      </c>
      <c r="I102" s="28" t="s">
        <v>1515</v>
      </c>
      <c r="J102" s="27" t="s">
        <v>1708</v>
      </c>
    </row>
    <row r="103" customFormat="false" ht="15" hidden="false" customHeight="true" outlineLevel="0" collapsed="false">
      <c r="A103" s="27" t="s">
        <v>1709</v>
      </c>
      <c r="B103" s="27" t="s">
        <v>1513</v>
      </c>
      <c r="C103" s="27" t="s">
        <v>1619</v>
      </c>
      <c r="D103" s="28" t="s">
        <v>576</v>
      </c>
      <c r="E103" s="27" t="s">
        <v>71</v>
      </c>
      <c r="F103" s="29" t="n">
        <v>46281</v>
      </c>
      <c r="G103" s="28" t="s">
        <v>1518</v>
      </c>
      <c r="H103" s="30" t="n">
        <v>46303</v>
      </c>
      <c r="I103" s="28" t="s">
        <v>1515</v>
      </c>
      <c r="J103" s="27" t="s">
        <v>1710</v>
      </c>
    </row>
    <row r="104" customFormat="false" ht="15" hidden="false" customHeight="true" outlineLevel="0" collapsed="false">
      <c r="A104" s="27" t="s">
        <v>1711</v>
      </c>
      <c r="B104" s="27" t="s">
        <v>1513</v>
      </c>
      <c r="C104" s="27" t="s">
        <v>1619</v>
      </c>
      <c r="D104" s="28" t="s">
        <v>576</v>
      </c>
      <c r="E104" s="27" t="s">
        <v>71</v>
      </c>
      <c r="F104" s="29" t="n">
        <v>46281</v>
      </c>
      <c r="G104" s="28" t="s">
        <v>1518</v>
      </c>
      <c r="H104" s="30" t="n">
        <v>46303</v>
      </c>
      <c r="I104" s="28" t="s">
        <v>1515</v>
      </c>
      <c r="J104" s="27" t="s">
        <v>1712</v>
      </c>
    </row>
    <row r="105" customFormat="false" ht="15" hidden="false" customHeight="true" outlineLevel="0" collapsed="false">
      <c r="A105" s="27" t="s">
        <v>1713</v>
      </c>
      <c r="B105" s="27" t="s">
        <v>1513</v>
      </c>
      <c r="C105" s="27" t="s">
        <v>1619</v>
      </c>
      <c r="D105" s="28" t="s">
        <v>576</v>
      </c>
      <c r="E105" s="27" t="s">
        <v>71</v>
      </c>
      <c r="F105" s="29" t="n">
        <v>46281</v>
      </c>
      <c r="G105" s="28" t="s">
        <v>1518</v>
      </c>
      <c r="H105" s="30" t="n">
        <v>46303</v>
      </c>
      <c r="I105" s="28" t="s">
        <v>1515</v>
      </c>
      <c r="J105" s="27" t="s">
        <v>1714</v>
      </c>
    </row>
    <row r="106" customFormat="false" ht="15" hidden="false" customHeight="true" outlineLevel="0" collapsed="false">
      <c r="A106" s="27" t="s">
        <v>1715</v>
      </c>
      <c r="B106" s="27" t="s">
        <v>1513</v>
      </c>
      <c r="C106" s="27" t="s">
        <v>1619</v>
      </c>
      <c r="D106" s="28" t="s">
        <v>576</v>
      </c>
      <c r="E106" s="27" t="s">
        <v>71</v>
      </c>
      <c r="F106" s="29" t="n">
        <v>46281</v>
      </c>
      <c r="G106" s="28" t="s">
        <v>1518</v>
      </c>
      <c r="H106" s="30" t="n">
        <v>46303</v>
      </c>
      <c r="I106" s="28" t="s">
        <v>1515</v>
      </c>
      <c r="J106" s="27" t="s">
        <v>1716</v>
      </c>
    </row>
    <row r="107" customFormat="false" ht="15" hidden="false" customHeight="true" outlineLevel="0" collapsed="false">
      <c r="A107" s="27" t="s">
        <v>1717</v>
      </c>
      <c r="B107" s="27" t="s">
        <v>1513</v>
      </c>
      <c r="C107" s="27" t="s">
        <v>1619</v>
      </c>
      <c r="D107" s="28" t="s">
        <v>576</v>
      </c>
      <c r="E107" s="27" t="s">
        <v>71</v>
      </c>
      <c r="F107" s="29" t="n">
        <v>46281</v>
      </c>
      <c r="G107" s="28" t="s">
        <v>1518</v>
      </c>
      <c r="H107" s="30" t="n">
        <v>46303</v>
      </c>
      <c r="I107" s="28" t="s">
        <v>1515</v>
      </c>
      <c r="J107" s="27" t="s">
        <v>1718</v>
      </c>
    </row>
    <row r="108" customFormat="false" ht="15" hidden="false" customHeight="true" outlineLevel="0" collapsed="false">
      <c r="A108" s="27" t="s">
        <v>1719</v>
      </c>
      <c r="B108" s="27" t="s">
        <v>1513</v>
      </c>
      <c r="C108" s="27" t="s">
        <v>1619</v>
      </c>
      <c r="D108" s="28" t="s">
        <v>576</v>
      </c>
      <c r="E108" s="27" t="s">
        <v>71</v>
      </c>
      <c r="F108" s="29" t="n">
        <v>46281</v>
      </c>
      <c r="G108" s="28" t="s">
        <v>1518</v>
      </c>
      <c r="H108" s="30" t="n">
        <v>46303</v>
      </c>
      <c r="I108" s="28" t="s">
        <v>1515</v>
      </c>
      <c r="J108" s="27" t="s">
        <v>1720</v>
      </c>
    </row>
    <row r="109" customFormat="false" ht="15" hidden="false" customHeight="true" outlineLevel="0" collapsed="false">
      <c r="A109" s="27" t="s">
        <v>1721</v>
      </c>
      <c r="B109" s="27" t="s">
        <v>1513</v>
      </c>
      <c r="C109" s="27" t="s">
        <v>1619</v>
      </c>
      <c r="D109" s="28" t="s">
        <v>576</v>
      </c>
      <c r="E109" s="27" t="s">
        <v>71</v>
      </c>
      <c r="F109" s="29" t="n">
        <v>46281</v>
      </c>
      <c r="G109" s="28" t="s">
        <v>1518</v>
      </c>
      <c r="H109" s="30" t="n">
        <v>46303</v>
      </c>
      <c r="I109" s="28" t="s">
        <v>1515</v>
      </c>
      <c r="J109" s="27" t="s">
        <v>1722</v>
      </c>
    </row>
    <row r="110" customFormat="false" ht="15" hidden="false" customHeight="true" outlineLevel="0" collapsed="false">
      <c r="A110" s="27" t="s">
        <v>1723</v>
      </c>
      <c r="B110" s="27" t="s">
        <v>1513</v>
      </c>
      <c r="C110" s="27" t="s">
        <v>1619</v>
      </c>
      <c r="D110" s="28" t="s">
        <v>576</v>
      </c>
      <c r="E110" s="27" t="s">
        <v>71</v>
      </c>
      <c r="F110" s="29" t="n">
        <v>46281</v>
      </c>
      <c r="G110" s="28" t="s">
        <v>1518</v>
      </c>
      <c r="H110" s="30" t="n">
        <v>46303</v>
      </c>
      <c r="I110" s="28" t="s">
        <v>1515</v>
      </c>
      <c r="J110" s="27" t="s">
        <v>1724</v>
      </c>
    </row>
    <row r="111" customFormat="false" ht="15" hidden="false" customHeight="true" outlineLevel="0" collapsed="false">
      <c r="A111" s="27" t="s">
        <v>1725</v>
      </c>
      <c r="B111" s="27" t="s">
        <v>1513</v>
      </c>
      <c r="C111" s="27" t="s">
        <v>1619</v>
      </c>
      <c r="D111" s="28" t="s">
        <v>576</v>
      </c>
      <c r="E111" s="27" t="s">
        <v>71</v>
      </c>
      <c r="F111" s="29" t="n">
        <v>46281</v>
      </c>
      <c r="G111" s="28" t="s">
        <v>1518</v>
      </c>
      <c r="H111" s="30" t="n">
        <v>46303</v>
      </c>
      <c r="I111" s="28" t="s">
        <v>1515</v>
      </c>
      <c r="J111" s="27" t="s">
        <v>1726</v>
      </c>
    </row>
    <row r="112" customFormat="false" ht="15" hidden="false" customHeight="true" outlineLevel="0" collapsed="false">
      <c r="A112" s="27" t="s">
        <v>1727</v>
      </c>
      <c r="B112" s="27" t="s">
        <v>1513</v>
      </c>
      <c r="C112" s="27" t="s">
        <v>1619</v>
      </c>
      <c r="D112" s="28" t="s">
        <v>576</v>
      </c>
      <c r="E112" s="27" t="s">
        <v>71</v>
      </c>
      <c r="F112" s="29" t="n">
        <v>46281</v>
      </c>
      <c r="G112" s="28" t="s">
        <v>1518</v>
      </c>
      <c r="H112" s="30" t="n">
        <v>46303</v>
      </c>
      <c r="I112" s="28" t="s">
        <v>1515</v>
      </c>
      <c r="J112" s="27" t="s">
        <v>1728</v>
      </c>
    </row>
    <row r="113" customFormat="false" ht="15" hidden="false" customHeight="true" outlineLevel="0" collapsed="false">
      <c r="A113" s="27" t="s">
        <v>1729</v>
      </c>
      <c r="B113" s="27" t="s">
        <v>1513</v>
      </c>
      <c r="C113" s="27" t="s">
        <v>1619</v>
      </c>
      <c r="D113" s="28" t="s">
        <v>576</v>
      </c>
      <c r="E113" s="27" t="s">
        <v>71</v>
      </c>
      <c r="F113" s="29" t="n">
        <v>46282</v>
      </c>
      <c r="G113" s="28" t="s">
        <v>1518</v>
      </c>
      <c r="H113" s="30" t="n">
        <v>46303</v>
      </c>
      <c r="I113" s="28" t="s">
        <v>1515</v>
      </c>
      <c r="J113" s="27" t="s">
        <v>1726</v>
      </c>
    </row>
    <row r="114" customFormat="false" ht="15" hidden="false" customHeight="true" outlineLevel="0" collapsed="false">
      <c r="A114" s="27" t="s">
        <v>1730</v>
      </c>
      <c r="B114" s="27" t="s">
        <v>1513</v>
      </c>
      <c r="C114" s="27" t="s">
        <v>1619</v>
      </c>
      <c r="D114" s="28" t="s">
        <v>576</v>
      </c>
      <c r="E114" s="27" t="s">
        <v>71</v>
      </c>
      <c r="F114" s="29" t="n">
        <v>46282</v>
      </c>
      <c r="G114" s="28" t="s">
        <v>1518</v>
      </c>
      <c r="H114" s="30" t="n">
        <v>46303</v>
      </c>
      <c r="I114" s="28" t="s">
        <v>1515</v>
      </c>
      <c r="J114" s="27" t="s">
        <v>1731</v>
      </c>
    </row>
    <row r="115" customFormat="false" ht="15" hidden="false" customHeight="true" outlineLevel="0" collapsed="false">
      <c r="A115" s="27" t="s">
        <v>1732</v>
      </c>
      <c r="B115" s="27" t="s">
        <v>1513</v>
      </c>
      <c r="C115" s="27" t="s">
        <v>1619</v>
      </c>
      <c r="D115" s="28" t="s">
        <v>576</v>
      </c>
      <c r="E115" s="27" t="s">
        <v>71</v>
      </c>
      <c r="F115" s="29" t="n">
        <v>46282</v>
      </c>
      <c r="G115" s="28" t="s">
        <v>1518</v>
      </c>
      <c r="H115" s="30" t="n">
        <v>46303</v>
      </c>
      <c r="I115" s="28" t="s">
        <v>1515</v>
      </c>
      <c r="J115" s="27" t="s">
        <v>1733</v>
      </c>
    </row>
    <row r="116" customFormat="false" ht="15" hidden="false" customHeight="true" outlineLevel="0" collapsed="false">
      <c r="A116" s="27" t="s">
        <v>1734</v>
      </c>
      <c r="B116" s="27" t="s">
        <v>1513</v>
      </c>
      <c r="C116" s="27" t="s">
        <v>1619</v>
      </c>
      <c r="D116" s="28" t="s">
        <v>576</v>
      </c>
      <c r="E116" s="27" t="s">
        <v>71</v>
      </c>
      <c r="F116" s="29" t="n">
        <v>46282</v>
      </c>
      <c r="G116" s="28" t="s">
        <v>1518</v>
      </c>
      <c r="H116" s="30" t="n">
        <v>46303</v>
      </c>
      <c r="I116" s="28" t="s">
        <v>1515</v>
      </c>
      <c r="J116" s="27" t="s">
        <v>1735</v>
      </c>
    </row>
    <row r="117" customFormat="false" ht="15" hidden="false" customHeight="true" outlineLevel="0" collapsed="false">
      <c r="A117" s="27" t="s">
        <v>1736</v>
      </c>
      <c r="B117" s="27" t="s">
        <v>1513</v>
      </c>
      <c r="C117" s="27" t="s">
        <v>1619</v>
      </c>
      <c r="D117" s="28" t="s">
        <v>576</v>
      </c>
      <c r="E117" s="27" t="s">
        <v>71</v>
      </c>
      <c r="F117" s="29" t="n">
        <v>46282</v>
      </c>
      <c r="G117" s="28" t="s">
        <v>1518</v>
      </c>
      <c r="H117" s="30" t="n">
        <v>46303</v>
      </c>
      <c r="I117" s="28" t="s">
        <v>1515</v>
      </c>
      <c r="J117" s="27" t="s">
        <v>1737</v>
      </c>
    </row>
    <row r="118" customFormat="false" ht="15" hidden="false" customHeight="true" outlineLevel="0" collapsed="false">
      <c r="A118" s="27" t="s">
        <v>1738</v>
      </c>
      <c r="B118" s="27" t="s">
        <v>1513</v>
      </c>
      <c r="C118" s="27" t="s">
        <v>1619</v>
      </c>
      <c r="D118" s="28" t="s">
        <v>576</v>
      </c>
      <c r="E118" s="27" t="s">
        <v>71</v>
      </c>
      <c r="F118" s="29" t="n">
        <v>46282</v>
      </c>
      <c r="G118" s="28" t="s">
        <v>1518</v>
      </c>
      <c r="H118" s="30" t="n">
        <v>46303</v>
      </c>
      <c r="I118" s="28" t="s">
        <v>1515</v>
      </c>
      <c r="J118" s="27" t="s">
        <v>1739</v>
      </c>
    </row>
    <row r="119" customFormat="false" ht="15" hidden="false" customHeight="true" outlineLevel="0" collapsed="false">
      <c r="A119" s="27" t="s">
        <v>1740</v>
      </c>
      <c r="B119" s="27" t="s">
        <v>1513</v>
      </c>
      <c r="C119" s="27" t="s">
        <v>1619</v>
      </c>
      <c r="D119" s="28" t="s">
        <v>576</v>
      </c>
      <c r="E119" s="27" t="s">
        <v>71</v>
      </c>
      <c r="F119" s="29" t="n">
        <v>46282</v>
      </c>
      <c r="G119" s="28" t="s">
        <v>1518</v>
      </c>
      <c r="H119" s="30" t="n">
        <v>46303</v>
      </c>
      <c r="I119" s="28" t="s">
        <v>1515</v>
      </c>
      <c r="J119" s="27" t="s">
        <v>1741</v>
      </c>
    </row>
    <row r="120" customFormat="false" ht="15" hidden="false" customHeight="true" outlineLevel="0" collapsed="false">
      <c r="A120" s="27" t="s">
        <v>1742</v>
      </c>
      <c r="B120" s="27" t="s">
        <v>1513</v>
      </c>
      <c r="C120" s="27" t="s">
        <v>1619</v>
      </c>
      <c r="D120" s="28" t="s">
        <v>576</v>
      </c>
      <c r="E120" s="27" t="s">
        <v>71</v>
      </c>
      <c r="F120" s="29" t="n">
        <v>46282</v>
      </c>
      <c r="G120" s="28" t="s">
        <v>1137</v>
      </c>
      <c r="H120" s="30"/>
      <c r="I120" s="28" t="s">
        <v>1515</v>
      </c>
      <c r="J120" s="27" t="s">
        <v>1743</v>
      </c>
    </row>
    <row r="121" customFormat="false" ht="15" hidden="false" customHeight="true" outlineLevel="0" collapsed="false">
      <c r="A121" s="27" t="s">
        <v>1744</v>
      </c>
      <c r="B121" s="27" t="s">
        <v>1513</v>
      </c>
      <c r="C121" s="27" t="s">
        <v>1619</v>
      </c>
      <c r="D121" s="28" t="s">
        <v>576</v>
      </c>
      <c r="E121" s="27" t="s">
        <v>71</v>
      </c>
      <c r="F121" s="29" t="n">
        <v>46282</v>
      </c>
      <c r="G121" s="28" t="s">
        <v>1137</v>
      </c>
      <c r="H121" s="30"/>
      <c r="I121" s="28" t="s">
        <v>1515</v>
      </c>
      <c r="J121" s="27" t="s">
        <v>1745</v>
      </c>
    </row>
    <row r="122" customFormat="false" ht="15" hidden="false" customHeight="true" outlineLevel="0" collapsed="false">
      <c r="A122" s="27" t="s">
        <v>1746</v>
      </c>
      <c r="B122" s="27" t="s">
        <v>1513</v>
      </c>
      <c r="C122" s="27" t="s">
        <v>1619</v>
      </c>
      <c r="D122" s="28" t="s">
        <v>576</v>
      </c>
      <c r="E122" s="27" t="s">
        <v>71</v>
      </c>
      <c r="F122" s="29" t="n">
        <v>46282</v>
      </c>
      <c r="G122" s="28" t="s">
        <v>1137</v>
      </c>
      <c r="H122" s="30"/>
      <c r="I122" s="28" t="s">
        <v>1515</v>
      </c>
      <c r="J122" s="27" t="s">
        <v>1747</v>
      </c>
    </row>
    <row r="123" customFormat="false" ht="15" hidden="false" customHeight="true" outlineLevel="0" collapsed="false">
      <c r="A123" s="27" t="s">
        <v>1748</v>
      </c>
      <c r="B123" s="27" t="s">
        <v>1513</v>
      </c>
      <c r="C123" s="27" t="s">
        <v>1619</v>
      </c>
      <c r="D123" s="28" t="s">
        <v>576</v>
      </c>
      <c r="E123" s="27" t="s">
        <v>71</v>
      </c>
      <c r="F123" s="29" t="n">
        <v>46282</v>
      </c>
      <c r="G123" s="28" t="s">
        <v>1518</v>
      </c>
      <c r="H123" s="30" t="n">
        <v>46303</v>
      </c>
      <c r="I123" s="28" t="s">
        <v>1515</v>
      </c>
      <c r="J123" s="27" t="s">
        <v>1749</v>
      </c>
    </row>
    <row r="124" customFormat="false" ht="15" hidden="false" customHeight="true" outlineLevel="0" collapsed="false">
      <c r="A124" s="27" t="s">
        <v>1750</v>
      </c>
      <c r="B124" s="27" t="s">
        <v>1513</v>
      </c>
      <c r="C124" s="27" t="s">
        <v>1619</v>
      </c>
      <c r="D124" s="28" t="s">
        <v>576</v>
      </c>
      <c r="E124" s="27" t="s">
        <v>71</v>
      </c>
      <c r="F124" s="29" t="n">
        <v>46282</v>
      </c>
      <c r="G124" s="28" t="s">
        <v>1518</v>
      </c>
      <c r="H124" s="30" t="n">
        <v>46303</v>
      </c>
      <c r="I124" s="28" t="s">
        <v>1515</v>
      </c>
      <c r="J124" s="27" t="s">
        <v>1751</v>
      </c>
    </row>
    <row r="125" customFormat="false" ht="15" hidden="false" customHeight="true" outlineLevel="0" collapsed="false">
      <c r="A125" s="27" t="s">
        <v>1752</v>
      </c>
      <c r="B125" s="27" t="s">
        <v>1513</v>
      </c>
      <c r="C125" s="27" t="s">
        <v>1619</v>
      </c>
      <c r="D125" s="28" t="s">
        <v>576</v>
      </c>
      <c r="E125" s="27" t="s">
        <v>66</v>
      </c>
      <c r="F125" s="29" t="n">
        <v>46283</v>
      </c>
      <c r="G125" s="28" t="s">
        <v>1137</v>
      </c>
      <c r="H125" s="30"/>
      <c r="I125" s="28" t="s">
        <v>1521</v>
      </c>
      <c r="J125" s="27" t="s">
        <v>1753</v>
      </c>
    </row>
    <row r="126" customFormat="false" ht="15" hidden="false" customHeight="true" outlineLevel="0" collapsed="false">
      <c r="A126" s="27" t="s">
        <v>1754</v>
      </c>
      <c r="B126" s="27" t="s">
        <v>1513</v>
      </c>
      <c r="C126" s="27" t="s">
        <v>1619</v>
      </c>
      <c r="D126" s="28" t="s">
        <v>576</v>
      </c>
      <c r="E126" s="27" t="s">
        <v>66</v>
      </c>
      <c r="F126" s="29" t="n">
        <v>46283</v>
      </c>
      <c r="G126" s="28" t="s">
        <v>1137</v>
      </c>
      <c r="H126" s="30"/>
      <c r="I126" s="28" t="s">
        <v>1521</v>
      </c>
      <c r="J126" s="27" t="s">
        <v>1755</v>
      </c>
    </row>
    <row r="127" customFormat="false" ht="15" hidden="false" customHeight="true" outlineLevel="0" collapsed="false">
      <c r="A127" s="27" t="s">
        <v>1756</v>
      </c>
      <c r="B127" s="27" t="s">
        <v>1513</v>
      </c>
      <c r="C127" s="27" t="s">
        <v>1619</v>
      </c>
      <c r="D127" s="28" t="s">
        <v>576</v>
      </c>
      <c r="E127" s="27" t="s">
        <v>71</v>
      </c>
      <c r="F127" s="29" t="n">
        <v>46283</v>
      </c>
      <c r="G127" s="28" t="s">
        <v>1518</v>
      </c>
      <c r="H127" s="30" t="n">
        <v>46303</v>
      </c>
      <c r="I127" s="28" t="s">
        <v>1515</v>
      </c>
      <c r="J127" s="27" t="s">
        <v>1757</v>
      </c>
    </row>
    <row r="128" customFormat="false" ht="15" hidden="false" customHeight="true" outlineLevel="0" collapsed="false">
      <c r="A128" s="27" t="s">
        <v>1758</v>
      </c>
      <c r="B128" s="27" t="s">
        <v>1513</v>
      </c>
      <c r="C128" s="27" t="s">
        <v>1619</v>
      </c>
      <c r="D128" s="28" t="s">
        <v>576</v>
      </c>
      <c r="E128" s="27" t="s">
        <v>71</v>
      </c>
      <c r="F128" s="29" t="n">
        <v>46283</v>
      </c>
      <c r="G128" s="28" t="s">
        <v>1518</v>
      </c>
      <c r="H128" s="30" t="n">
        <v>46303</v>
      </c>
      <c r="I128" s="28" t="s">
        <v>1515</v>
      </c>
      <c r="J128" s="27" t="s">
        <v>1759</v>
      </c>
    </row>
    <row r="129" customFormat="false" ht="15" hidden="false" customHeight="true" outlineLevel="0" collapsed="false">
      <c r="A129" s="27" t="s">
        <v>1760</v>
      </c>
      <c r="B129" s="27" t="s">
        <v>1513</v>
      </c>
      <c r="C129" s="27" t="s">
        <v>1619</v>
      </c>
      <c r="D129" s="28" t="s">
        <v>576</v>
      </c>
      <c r="E129" s="27" t="s">
        <v>71</v>
      </c>
      <c r="F129" s="29" t="n">
        <v>46283</v>
      </c>
      <c r="G129" s="28" t="s">
        <v>1137</v>
      </c>
      <c r="H129" s="30"/>
      <c r="I129" s="28" t="s">
        <v>1515</v>
      </c>
      <c r="J129" s="27" t="s">
        <v>1761</v>
      </c>
    </row>
    <row r="130" customFormat="false" ht="15" hidden="false" customHeight="true" outlineLevel="0" collapsed="false">
      <c r="A130" s="27" t="s">
        <v>1762</v>
      </c>
      <c r="B130" s="27" t="s">
        <v>1513</v>
      </c>
      <c r="C130" s="27" t="s">
        <v>1619</v>
      </c>
      <c r="D130" s="28" t="s">
        <v>576</v>
      </c>
      <c r="E130" s="27" t="s">
        <v>71</v>
      </c>
      <c r="F130" s="29" t="n">
        <v>46283</v>
      </c>
      <c r="G130" s="28" t="s">
        <v>1518</v>
      </c>
      <c r="H130" s="30" t="n">
        <v>46303</v>
      </c>
      <c r="I130" s="28" t="s">
        <v>1515</v>
      </c>
      <c r="J130" s="27" t="s">
        <v>1763</v>
      </c>
    </row>
    <row r="131" customFormat="false" ht="15" hidden="false" customHeight="true" outlineLevel="0" collapsed="false">
      <c r="A131" s="27" t="s">
        <v>1764</v>
      </c>
      <c r="B131" s="27" t="s">
        <v>1513</v>
      </c>
      <c r="C131" s="27" t="s">
        <v>1619</v>
      </c>
      <c r="D131" s="28" t="s">
        <v>576</v>
      </c>
      <c r="E131" s="27" t="s">
        <v>71</v>
      </c>
      <c r="F131" s="29" t="n">
        <v>46283</v>
      </c>
      <c r="G131" s="28" t="s">
        <v>1518</v>
      </c>
      <c r="H131" s="30" t="n">
        <v>46303</v>
      </c>
      <c r="I131" s="28" t="s">
        <v>1515</v>
      </c>
      <c r="J131" s="27" t="s">
        <v>1765</v>
      </c>
    </row>
    <row r="132" customFormat="false" ht="15" hidden="false" customHeight="true" outlineLevel="0" collapsed="false">
      <c r="A132" s="27" t="s">
        <v>1766</v>
      </c>
      <c r="B132" s="27" t="s">
        <v>1513</v>
      </c>
      <c r="C132" s="27" t="s">
        <v>1619</v>
      </c>
      <c r="D132" s="28" t="s">
        <v>576</v>
      </c>
      <c r="E132" s="27" t="s">
        <v>71</v>
      </c>
      <c r="F132" s="29" t="n">
        <v>46283</v>
      </c>
      <c r="G132" s="28" t="s">
        <v>1518</v>
      </c>
      <c r="H132" s="30" t="n">
        <v>46303</v>
      </c>
      <c r="I132" s="28" t="s">
        <v>1515</v>
      </c>
      <c r="J132" s="27" t="s">
        <v>1767</v>
      </c>
    </row>
    <row r="133" customFormat="false" ht="15" hidden="false" customHeight="true" outlineLevel="0" collapsed="false">
      <c r="A133" s="27" t="s">
        <v>1768</v>
      </c>
      <c r="B133" s="27" t="s">
        <v>1513</v>
      </c>
      <c r="C133" s="27" t="s">
        <v>1619</v>
      </c>
      <c r="D133" s="28" t="s">
        <v>576</v>
      </c>
      <c r="E133" s="27" t="s">
        <v>71</v>
      </c>
      <c r="F133" s="29" t="n">
        <v>46283</v>
      </c>
      <c r="G133" s="28" t="s">
        <v>1518</v>
      </c>
      <c r="H133" s="30" t="n">
        <v>46303</v>
      </c>
      <c r="I133" s="28" t="s">
        <v>1515</v>
      </c>
      <c r="J133" s="27" t="s">
        <v>1769</v>
      </c>
    </row>
    <row r="134" customFormat="false" ht="15" hidden="false" customHeight="true" outlineLevel="0" collapsed="false">
      <c r="A134" s="27" t="s">
        <v>1770</v>
      </c>
      <c r="B134" s="27" t="s">
        <v>1513</v>
      </c>
      <c r="C134" s="27" t="s">
        <v>1619</v>
      </c>
      <c r="D134" s="28" t="s">
        <v>576</v>
      </c>
      <c r="E134" s="27" t="s">
        <v>71</v>
      </c>
      <c r="F134" s="29" t="n">
        <v>46283</v>
      </c>
      <c r="G134" s="28" t="s">
        <v>1518</v>
      </c>
      <c r="H134" s="30" t="n">
        <v>46303</v>
      </c>
      <c r="I134" s="28" t="s">
        <v>1515</v>
      </c>
      <c r="J134" s="27" t="s">
        <v>1771</v>
      </c>
    </row>
    <row r="135" customFormat="false" ht="15" hidden="false" customHeight="true" outlineLevel="0" collapsed="false">
      <c r="A135" s="27" t="s">
        <v>1772</v>
      </c>
      <c r="B135" s="27" t="s">
        <v>1513</v>
      </c>
      <c r="C135" s="27" t="s">
        <v>1619</v>
      </c>
      <c r="D135" s="28" t="s">
        <v>576</v>
      </c>
      <c r="E135" s="27" t="s">
        <v>71</v>
      </c>
      <c r="F135" s="29" t="n">
        <v>46283</v>
      </c>
      <c r="G135" s="28" t="s">
        <v>1518</v>
      </c>
      <c r="H135" s="30" t="n">
        <v>46303</v>
      </c>
      <c r="I135" s="28" t="s">
        <v>1515</v>
      </c>
      <c r="J135" s="27" t="s">
        <v>1773</v>
      </c>
    </row>
    <row r="136" customFormat="false" ht="15" hidden="false" customHeight="true" outlineLevel="0" collapsed="false">
      <c r="A136" s="27" t="s">
        <v>1774</v>
      </c>
      <c r="B136" s="27" t="s">
        <v>1513</v>
      </c>
      <c r="C136" s="27" t="s">
        <v>1619</v>
      </c>
      <c r="D136" s="28" t="s">
        <v>576</v>
      </c>
      <c r="E136" s="27" t="s">
        <v>71</v>
      </c>
      <c r="F136" s="29" t="n">
        <v>46283</v>
      </c>
      <c r="G136" s="28" t="s">
        <v>1518</v>
      </c>
      <c r="H136" s="30" t="n">
        <v>46303</v>
      </c>
      <c r="I136" s="28" t="s">
        <v>1515</v>
      </c>
      <c r="J136" s="27" t="s">
        <v>1775</v>
      </c>
    </row>
    <row r="137" customFormat="false" ht="15" hidden="false" customHeight="true" outlineLevel="0" collapsed="false">
      <c r="A137" s="27" t="s">
        <v>1776</v>
      </c>
      <c r="B137" s="27" t="s">
        <v>1513</v>
      </c>
      <c r="C137" s="27" t="s">
        <v>1619</v>
      </c>
      <c r="D137" s="28" t="s">
        <v>576</v>
      </c>
      <c r="E137" s="27" t="s">
        <v>71</v>
      </c>
      <c r="F137" s="29" t="n">
        <v>46283</v>
      </c>
      <c r="G137" s="28" t="s">
        <v>1518</v>
      </c>
      <c r="H137" s="30" t="n">
        <v>46303</v>
      </c>
      <c r="I137" s="28" t="s">
        <v>1515</v>
      </c>
      <c r="J137" s="27" t="s">
        <v>1777</v>
      </c>
    </row>
    <row r="138" customFormat="false" ht="15" hidden="false" customHeight="true" outlineLevel="0" collapsed="false">
      <c r="A138" s="27" t="s">
        <v>1778</v>
      </c>
      <c r="B138" s="27" t="s">
        <v>1513</v>
      </c>
      <c r="C138" s="27" t="s">
        <v>1619</v>
      </c>
      <c r="D138" s="28" t="s">
        <v>576</v>
      </c>
      <c r="E138" s="27" t="s">
        <v>71</v>
      </c>
      <c r="F138" s="29" t="n">
        <v>46286</v>
      </c>
      <c r="G138" s="28" t="s">
        <v>1137</v>
      </c>
      <c r="H138" s="30"/>
      <c r="I138" s="28" t="s">
        <v>1515</v>
      </c>
      <c r="J138" s="27" t="s">
        <v>1779</v>
      </c>
    </row>
    <row r="139" customFormat="false" ht="15" hidden="false" customHeight="true" outlineLevel="0" collapsed="false">
      <c r="A139" s="27" t="s">
        <v>1780</v>
      </c>
      <c r="B139" s="27" t="s">
        <v>1513</v>
      </c>
      <c r="C139" s="27" t="s">
        <v>1619</v>
      </c>
      <c r="D139" s="28" t="s">
        <v>576</v>
      </c>
      <c r="E139" s="27" t="s">
        <v>71</v>
      </c>
      <c r="F139" s="29" t="n">
        <v>46286</v>
      </c>
      <c r="G139" s="28" t="s">
        <v>1137</v>
      </c>
      <c r="H139" s="30"/>
      <c r="I139" s="28" t="s">
        <v>1515</v>
      </c>
      <c r="J139" s="27" t="s">
        <v>1781</v>
      </c>
    </row>
    <row r="140" customFormat="false" ht="15" hidden="false" customHeight="true" outlineLevel="0" collapsed="false">
      <c r="A140" s="27" t="s">
        <v>1782</v>
      </c>
      <c r="B140" s="27" t="s">
        <v>1513</v>
      </c>
      <c r="C140" s="27" t="s">
        <v>1619</v>
      </c>
      <c r="D140" s="28" t="s">
        <v>576</v>
      </c>
      <c r="E140" s="27" t="s">
        <v>71</v>
      </c>
      <c r="F140" s="29" t="n">
        <v>46286</v>
      </c>
      <c r="G140" s="28" t="s">
        <v>1514</v>
      </c>
      <c r="H140" s="30"/>
      <c r="I140" s="28" t="s">
        <v>1515</v>
      </c>
      <c r="J140" s="27" t="s">
        <v>1783</v>
      </c>
    </row>
    <row r="141" customFormat="false" ht="15" hidden="false" customHeight="true" outlineLevel="0" collapsed="false">
      <c r="A141" s="27" t="s">
        <v>1784</v>
      </c>
      <c r="B141" s="27" t="s">
        <v>1513</v>
      </c>
      <c r="C141" s="27" t="s">
        <v>1619</v>
      </c>
      <c r="D141" s="28" t="s">
        <v>576</v>
      </c>
      <c r="E141" s="27" t="s">
        <v>71</v>
      </c>
      <c r="F141" s="29" t="n">
        <v>46286</v>
      </c>
      <c r="G141" s="28" t="s">
        <v>1137</v>
      </c>
      <c r="H141" s="30"/>
      <c r="I141" s="28" t="s">
        <v>1515</v>
      </c>
      <c r="J141" s="27" t="s">
        <v>1785</v>
      </c>
    </row>
    <row r="142" customFormat="false" ht="15" hidden="false" customHeight="true" outlineLevel="0" collapsed="false">
      <c r="A142" s="27" t="s">
        <v>1786</v>
      </c>
      <c r="B142" s="27" t="s">
        <v>1513</v>
      </c>
      <c r="C142" s="27" t="s">
        <v>1619</v>
      </c>
      <c r="D142" s="28" t="s">
        <v>576</v>
      </c>
      <c r="E142" s="27" t="s">
        <v>71</v>
      </c>
      <c r="F142" s="29" t="n">
        <v>46286</v>
      </c>
      <c r="G142" s="28" t="s">
        <v>1137</v>
      </c>
      <c r="H142" s="30"/>
      <c r="I142" s="28" t="s">
        <v>1515</v>
      </c>
      <c r="J142" s="27" t="s">
        <v>1787</v>
      </c>
    </row>
    <row r="143" customFormat="false" ht="15" hidden="false" customHeight="true" outlineLevel="0" collapsed="false">
      <c r="A143" s="27" t="s">
        <v>1788</v>
      </c>
      <c r="B143" s="27" t="s">
        <v>1513</v>
      </c>
      <c r="C143" s="27" t="s">
        <v>1619</v>
      </c>
      <c r="D143" s="28" t="s">
        <v>576</v>
      </c>
      <c r="E143" s="27" t="s">
        <v>71</v>
      </c>
      <c r="F143" s="29" t="n">
        <v>46286</v>
      </c>
      <c r="G143" s="28" t="s">
        <v>1514</v>
      </c>
      <c r="H143" s="30"/>
      <c r="I143" s="28" t="s">
        <v>1515</v>
      </c>
      <c r="J143" s="27" t="s">
        <v>1789</v>
      </c>
    </row>
    <row r="144" customFormat="false" ht="15" hidden="false" customHeight="true" outlineLevel="0" collapsed="false">
      <c r="A144" s="27" t="s">
        <v>1790</v>
      </c>
      <c r="B144" s="27" t="s">
        <v>1513</v>
      </c>
      <c r="C144" s="27" t="s">
        <v>1619</v>
      </c>
      <c r="D144" s="28" t="s">
        <v>576</v>
      </c>
      <c r="E144" s="27" t="s">
        <v>71</v>
      </c>
      <c r="F144" s="29" t="n">
        <v>46286</v>
      </c>
      <c r="G144" s="28" t="s">
        <v>1518</v>
      </c>
      <c r="H144" s="30" t="n">
        <v>46303</v>
      </c>
      <c r="I144" s="28" t="s">
        <v>1515</v>
      </c>
      <c r="J144" s="27" t="s">
        <v>1791</v>
      </c>
    </row>
    <row r="145" customFormat="false" ht="15" hidden="false" customHeight="true" outlineLevel="0" collapsed="false">
      <c r="A145" s="27" t="s">
        <v>1792</v>
      </c>
      <c r="B145" s="27" t="s">
        <v>1513</v>
      </c>
      <c r="C145" s="27" t="s">
        <v>1619</v>
      </c>
      <c r="D145" s="28" t="s">
        <v>576</v>
      </c>
      <c r="E145" s="27" t="s">
        <v>71</v>
      </c>
      <c r="F145" s="29" t="n">
        <v>46287</v>
      </c>
      <c r="G145" s="28" t="s">
        <v>1518</v>
      </c>
      <c r="H145" s="30" t="n">
        <v>46303</v>
      </c>
      <c r="I145" s="28" t="s">
        <v>1515</v>
      </c>
      <c r="J145" s="27" t="s">
        <v>1793</v>
      </c>
    </row>
    <row r="146" customFormat="false" ht="15" hidden="false" customHeight="true" outlineLevel="0" collapsed="false">
      <c r="A146" s="27" t="s">
        <v>1794</v>
      </c>
      <c r="B146" s="27" t="s">
        <v>1513</v>
      </c>
      <c r="C146" s="27" t="s">
        <v>1619</v>
      </c>
      <c r="D146" s="28" t="s">
        <v>576</v>
      </c>
      <c r="E146" s="27" t="s">
        <v>71</v>
      </c>
      <c r="F146" s="29" t="n">
        <v>46287</v>
      </c>
      <c r="G146" s="28" t="s">
        <v>1518</v>
      </c>
      <c r="H146" s="30" t="n">
        <v>46303</v>
      </c>
      <c r="I146" s="28" t="s">
        <v>1515</v>
      </c>
      <c r="J146" s="27" t="s">
        <v>1795</v>
      </c>
    </row>
    <row r="147" customFormat="false" ht="15" hidden="false" customHeight="true" outlineLevel="0" collapsed="false">
      <c r="A147" s="27" t="s">
        <v>1796</v>
      </c>
      <c r="B147" s="27" t="s">
        <v>1513</v>
      </c>
      <c r="C147" s="27" t="s">
        <v>1619</v>
      </c>
      <c r="D147" s="28" t="s">
        <v>576</v>
      </c>
      <c r="E147" s="27" t="s">
        <v>71</v>
      </c>
      <c r="F147" s="29" t="n">
        <v>46287</v>
      </c>
      <c r="G147" s="28" t="s">
        <v>1137</v>
      </c>
      <c r="H147" s="30"/>
      <c r="I147" s="28" t="s">
        <v>1515</v>
      </c>
      <c r="J147" s="27" t="s">
        <v>1797</v>
      </c>
    </row>
    <row r="148" customFormat="false" ht="15" hidden="false" customHeight="true" outlineLevel="0" collapsed="false">
      <c r="A148" s="27" t="s">
        <v>1798</v>
      </c>
      <c r="B148" s="27" t="s">
        <v>1513</v>
      </c>
      <c r="C148" s="27" t="s">
        <v>1619</v>
      </c>
      <c r="D148" s="28" t="s">
        <v>576</v>
      </c>
      <c r="E148" s="27" t="s">
        <v>71</v>
      </c>
      <c r="F148" s="29" t="n">
        <v>46287</v>
      </c>
      <c r="G148" s="28" t="s">
        <v>1137</v>
      </c>
      <c r="H148" s="30"/>
      <c r="I148" s="28" t="s">
        <v>1515</v>
      </c>
      <c r="J148" s="27" t="s">
        <v>1799</v>
      </c>
    </row>
    <row r="149" customFormat="false" ht="15" hidden="false" customHeight="true" outlineLevel="0" collapsed="false">
      <c r="A149" s="27" t="s">
        <v>1800</v>
      </c>
      <c r="B149" s="27" t="s">
        <v>1513</v>
      </c>
      <c r="C149" s="27" t="s">
        <v>1619</v>
      </c>
      <c r="D149" s="28" t="s">
        <v>576</v>
      </c>
      <c r="E149" s="27" t="s">
        <v>71</v>
      </c>
      <c r="F149" s="29" t="n">
        <v>46288</v>
      </c>
      <c r="G149" s="28" t="s">
        <v>1518</v>
      </c>
      <c r="H149" s="30" t="n">
        <v>46303</v>
      </c>
      <c r="I149" s="28" t="s">
        <v>1515</v>
      </c>
      <c r="J149" s="27" t="s">
        <v>1801</v>
      </c>
    </row>
    <row r="150" customFormat="false" ht="15" hidden="false" customHeight="true" outlineLevel="0" collapsed="false">
      <c r="A150" s="27" t="s">
        <v>1802</v>
      </c>
      <c r="B150" s="27" t="s">
        <v>1513</v>
      </c>
      <c r="C150" s="27" t="s">
        <v>1619</v>
      </c>
      <c r="D150" s="28" t="s">
        <v>576</v>
      </c>
      <c r="E150" s="27" t="s">
        <v>71</v>
      </c>
      <c r="F150" s="29" t="n">
        <v>46288</v>
      </c>
      <c r="G150" s="28" t="s">
        <v>1518</v>
      </c>
      <c r="H150" s="30" t="n">
        <v>46303</v>
      </c>
      <c r="I150" s="28" t="s">
        <v>1515</v>
      </c>
      <c r="J150" s="27" t="s">
        <v>1803</v>
      </c>
    </row>
    <row r="151" customFormat="false" ht="15" hidden="false" customHeight="true" outlineLevel="0" collapsed="false">
      <c r="A151" s="27" t="s">
        <v>1804</v>
      </c>
      <c r="B151" s="27" t="s">
        <v>1513</v>
      </c>
      <c r="C151" s="27" t="s">
        <v>1619</v>
      </c>
      <c r="D151" s="28" t="s">
        <v>576</v>
      </c>
      <c r="E151" s="27" t="s">
        <v>71</v>
      </c>
      <c r="F151" s="29" t="n">
        <v>46289</v>
      </c>
      <c r="G151" s="28" t="s">
        <v>1518</v>
      </c>
      <c r="H151" s="30" t="n">
        <v>46303</v>
      </c>
      <c r="I151" s="28" t="s">
        <v>1515</v>
      </c>
      <c r="J151" s="27" t="s">
        <v>1805</v>
      </c>
    </row>
    <row r="152" customFormat="false" ht="15" hidden="false" customHeight="true" outlineLevel="0" collapsed="false">
      <c r="A152" s="27" t="s">
        <v>1806</v>
      </c>
      <c r="B152" s="27" t="s">
        <v>1513</v>
      </c>
      <c r="C152" s="27" t="s">
        <v>1619</v>
      </c>
      <c r="D152" s="28" t="s">
        <v>576</v>
      </c>
      <c r="E152" s="27" t="s">
        <v>1524</v>
      </c>
      <c r="F152" s="29"/>
      <c r="G152" s="28" t="s">
        <v>1525</v>
      </c>
      <c r="H152" s="30"/>
      <c r="I152" s="28" t="s">
        <v>1521</v>
      </c>
      <c r="J152" s="27" t="s">
        <v>1807</v>
      </c>
    </row>
    <row r="153" customFormat="false" ht="15" hidden="false" customHeight="true" outlineLevel="0" collapsed="false">
      <c r="A153" s="27" t="s">
        <v>1808</v>
      </c>
      <c r="B153" s="27" t="s">
        <v>1513</v>
      </c>
      <c r="C153" s="27" t="s">
        <v>1619</v>
      </c>
      <c r="D153" s="28" t="s">
        <v>576</v>
      </c>
      <c r="E153" s="27" t="s">
        <v>71</v>
      </c>
      <c r="F153" s="29" t="n">
        <v>46290</v>
      </c>
      <c r="G153" s="28" t="s">
        <v>1518</v>
      </c>
      <c r="H153" s="30" t="n">
        <v>46303</v>
      </c>
      <c r="I153" s="28" t="s">
        <v>1515</v>
      </c>
      <c r="J153" s="27" t="s">
        <v>1809</v>
      </c>
    </row>
    <row r="154" customFormat="false" ht="15" hidden="false" customHeight="true" outlineLevel="0" collapsed="false">
      <c r="A154" s="27" t="s">
        <v>1810</v>
      </c>
      <c r="B154" s="27" t="s">
        <v>1513</v>
      </c>
      <c r="C154" s="27" t="s">
        <v>1619</v>
      </c>
      <c r="D154" s="28" t="s">
        <v>576</v>
      </c>
      <c r="E154" s="27" t="s">
        <v>71</v>
      </c>
      <c r="F154" s="29" t="n">
        <v>46290</v>
      </c>
      <c r="G154" s="28" t="s">
        <v>1518</v>
      </c>
      <c r="H154" s="30" t="n">
        <v>46303</v>
      </c>
      <c r="I154" s="28" t="s">
        <v>1515</v>
      </c>
      <c r="J154" s="27" t="s">
        <v>1811</v>
      </c>
    </row>
    <row r="155" customFormat="false" ht="15" hidden="false" customHeight="true" outlineLevel="0" collapsed="false">
      <c r="A155" s="27" t="s">
        <v>1812</v>
      </c>
      <c r="B155" s="27" t="s">
        <v>1513</v>
      </c>
      <c r="C155" s="27" t="s">
        <v>1619</v>
      </c>
      <c r="D155" s="28" t="s">
        <v>576</v>
      </c>
      <c r="E155" s="27" t="s">
        <v>71</v>
      </c>
      <c r="F155" s="29" t="n">
        <v>46290</v>
      </c>
      <c r="G155" s="28" t="s">
        <v>1518</v>
      </c>
      <c r="H155" s="30" t="n">
        <v>46303</v>
      </c>
      <c r="I155" s="28" t="s">
        <v>1515</v>
      </c>
      <c r="J155" s="27" t="s">
        <v>1813</v>
      </c>
    </row>
    <row r="156" customFormat="false" ht="15" hidden="false" customHeight="true" outlineLevel="0" collapsed="false">
      <c r="A156" s="27" t="s">
        <v>1814</v>
      </c>
      <c r="B156" s="27" t="s">
        <v>1513</v>
      </c>
      <c r="C156" s="27" t="s">
        <v>1619</v>
      </c>
      <c r="D156" s="28" t="s">
        <v>576</v>
      </c>
      <c r="E156" s="27" t="s">
        <v>71</v>
      </c>
      <c r="F156" s="29" t="n">
        <v>46290</v>
      </c>
      <c r="G156" s="28" t="s">
        <v>1518</v>
      </c>
      <c r="H156" s="30" t="n">
        <v>46303</v>
      </c>
      <c r="I156" s="28" t="s">
        <v>1515</v>
      </c>
      <c r="J156" s="27" t="s">
        <v>1815</v>
      </c>
    </row>
    <row r="157" customFormat="false" ht="15" hidden="false" customHeight="true" outlineLevel="0" collapsed="false">
      <c r="A157" s="27" t="s">
        <v>1816</v>
      </c>
      <c r="B157" s="27" t="s">
        <v>1513</v>
      </c>
      <c r="C157" s="27" t="s">
        <v>1619</v>
      </c>
      <c r="D157" s="28" t="s">
        <v>576</v>
      </c>
      <c r="E157" s="27" t="s">
        <v>71</v>
      </c>
      <c r="F157" s="29" t="n">
        <v>46290</v>
      </c>
      <c r="G157" s="28" t="s">
        <v>1518</v>
      </c>
      <c r="H157" s="30" t="n">
        <v>46303</v>
      </c>
      <c r="I157" s="28" t="s">
        <v>1515</v>
      </c>
      <c r="J157" s="27" t="s">
        <v>1817</v>
      </c>
    </row>
    <row r="158" customFormat="false" ht="15" hidden="false" customHeight="true" outlineLevel="0" collapsed="false">
      <c r="A158" s="27" t="s">
        <v>1818</v>
      </c>
      <c r="B158" s="27" t="s">
        <v>1513</v>
      </c>
      <c r="C158" s="27" t="s">
        <v>1619</v>
      </c>
      <c r="D158" s="28" t="s">
        <v>576</v>
      </c>
      <c r="E158" s="27" t="s">
        <v>71</v>
      </c>
      <c r="F158" s="29" t="n">
        <v>46293</v>
      </c>
      <c r="G158" s="28" t="s">
        <v>1137</v>
      </c>
      <c r="H158" s="30"/>
      <c r="I158" s="28" t="s">
        <v>1515</v>
      </c>
      <c r="J158" s="27" t="s">
        <v>1819</v>
      </c>
    </row>
    <row r="159" customFormat="false" ht="15" hidden="false" customHeight="true" outlineLevel="0" collapsed="false">
      <c r="A159" s="27" t="s">
        <v>1820</v>
      </c>
      <c r="B159" s="27" t="s">
        <v>1513</v>
      </c>
      <c r="C159" s="27" t="s">
        <v>1619</v>
      </c>
      <c r="D159" s="28" t="s">
        <v>576</v>
      </c>
      <c r="E159" s="27" t="s">
        <v>71</v>
      </c>
      <c r="F159" s="29" t="n">
        <v>46293</v>
      </c>
      <c r="G159" s="28" t="s">
        <v>1137</v>
      </c>
      <c r="H159" s="30"/>
      <c r="I159" s="28" t="s">
        <v>1515</v>
      </c>
      <c r="J159" s="27" t="s">
        <v>1821</v>
      </c>
    </row>
    <row r="160" customFormat="false" ht="15" hidden="false" customHeight="true" outlineLevel="0" collapsed="false">
      <c r="A160" s="27" t="s">
        <v>1822</v>
      </c>
      <c r="B160" s="27" t="s">
        <v>1513</v>
      </c>
      <c r="C160" s="27" t="s">
        <v>1619</v>
      </c>
      <c r="D160" s="28" t="s">
        <v>576</v>
      </c>
      <c r="E160" s="27" t="s">
        <v>71</v>
      </c>
      <c r="F160" s="29" t="n">
        <v>46295</v>
      </c>
      <c r="G160" s="28" t="s">
        <v>1518</v>
      </c>
      <c r="H160" s="30" t="n">
        <v>46303</v>
      </c>
      <c r="I160" s="28" t="s">
        <v>1515</v>
      </c>
      <c r="J160" s="27" t="s">
        <v>1823</v>
      </c>
    </row>
    <row r="161" customFormat="false" ht="15" hidden="false" customHeight="true" outlineLevel="0" collapsed="false">
      <c r="A161" s="27" t="s">
        <v>1824</v>
      </c>
      <c r="B161" s="27" t="s">
        <v>1513</v>
      </c>
      <c r="C161" s="27" t="s">
        <v>1825</v>
      </c>
      <c r="D161" s="28" t="s">
        <v>576</v>
      </c>
      <c r="E161" s="27" t="s">
        <v>71</v>
      </c>
      <c r="F161" s="29" t="n">
        <v>46273</v>
      </c>
      <c r="G161" s="28" t="s">
        <v>1137</v>
      </c>
      <c r="H161" s="30"/>
      <c r="I161" s="28" t="s">
        <v>1515</v>
      </c>
      <c r="J161" s="27" t="s">
        <v>1826</v>
      </c>
    </row>
    <row r="162" customFormat="false" ht="15" hidden="false" customHeight="true" outlineLevel="0" collapsed="false">
      <c r="A162" s="27" t="s">
        <v>1827</v>
      </c>
      <c r="B162" s="27" t="s">
        <v>1513</v>
      </c>
      <c r="C162" s="27" t="s">
        <v>1825</v>
      </c>
      <c r="D162" s="28" t="s">
        <v>576</v>
      </c>
      <c r="E162" s="27" t="s">
        <v>71</v>
      </c>
      <c r="F162" s="29" t="n">
        <v>46273</v>
      </c>
      <c r="G162" s="28" t="s">
        <v>1137</v>
      </c>
      <c r="H162" s="30"/>
      <c r="I162" s="28" t="s">
        <v>1515</v>
      </c>
      <c r="J162" s="27" t="s">
        <v>1828</v>
      </c>
    </row>
    <row r="163" customFormat="false" ht="15" hidden="false" customHeight="true" outlineLevel="0" collapsed="false">
      <c r="A163" s="27" t="s">
        <v>1829</v>
      </c>
      <c r="B163" s="27" t="s">
        <v>1513</v>
      </c>
      <c r="C163" s="27" t="s">
        <v>1825</v>
      </c>
      <c r="D163" s="28" t="s">
        <v>576</v>
      </c>
      <c r="E163" s="27" t="s">
        <v>71</v>
      </c>
      <c r="F163" s="29" t="n">
        <v>46273</v>
      </c>
      <c r="G163" s="28" t="s">
        <v>1137</v>
      </c>
      <c r="H163" s="30"/>
      <c r="I163" s="28" t="s">
        <v>1515</v>
      </c>
      <c r="J163" s="27" t="s">
        <v>1830</v>
      </c>
    </row>
    <row r="164" customFormat="false" ht="15" hidden="false" customHeight="true" outlineLevel="0" collapsed="false">
      <c r="A164" s="27" t="s">
        <v>1831</v>
      </c>
      <c r="B164" s="27" t="s">
        <v>1513</v>
      </c>
      <c r="C164" s="27" t="s">
        <v>1825</v>
      </c>
      <c r="D164" s="28" t="s">
        <v>576</v>
      </c>
      <c r="E164" s="27" t="s">
        <v>71</v>
      </c>
      <c r="F164" s="29" t="n">
        <v>46273</v>
      </c>
      <c r="G164" s="28" t="s">
        <v>1137</v>
      </c>
      <c r="H164" s="30"/>
      <c r="I164" s="28" t="s">
        <v>1515</v>
      </c>
      <c r="J164" s="27" t="s">
        <v>1832</v>
      </c>
    </row>
    <row r="165" customFormat="false" ht="15" hidden="false" customHeight="true" outlineLevel="0" collapsed="false">
      <c r="A165" s="27" t="s">
        <v>1833</v>
      </c>
      <c r="B165" s="27" t="s">
        <v>1513</v>
      </c>
      <c r="C165" s="27" t="s">
        <v>1825</v>
      </c>
      <c r="D165" s="28" t="s">
        <v>576</v>
      </c>
      <c r="E165" s="27" t="s">
        <v>71</v>
      </c>
      <c r="F165" s="29" t="n">
        <v>46273</v>
      </c>
      <c r="G165" s="28" t="s">
        <v>1137</v>
      </c>
      <c r="H165" s="30"/>
      <c r="I165" s="28" t="s">
        <v>1515</v>
      </c>
      <c r="J165" s="27" t="s">
        <v>1834</v>
      </c>
    </row>
    <row r="166" customFormat="false" ht="15" hidden="false" customHeight="true" outlineLevel="0" collapsed="false">
      <c r="A166" s="27" t="s">
        <v>1835</v>
      </c>
      <c r="B166" s="27" t="s">
        <v>1513</v>
      </c>
      <c r="C166" s="27" t="s">
        <v>1825</v>
      </c>
      <c r="D166" s="28" t="s">
        <v>576</v>
      </c>
      <c r="E166" s="27" t="s">
        <v>71</v>
      </c>
      <c r="F166" s="29" t="n">
        <v>46273</v>
      </c>
      <c r="G166" s="28" t="s">
        <v>1137</v>
      </c>
      <c r="H166" s="30"/>
      <c r="I166" s="28" t="s">
        <v>1515</v>
      </c>
      <c r="J166" s="27" t="s">
        <v>1836</v>
      </c>
    </row>
    <row r="167" customFormat="false" ht="15" hidden="false" customHeight="true" outlineLevel="0" collapsed="false">
      <c r="A167" s="27" t="s">
        <v>1837</v>
      </c>
      <c r="B167" s="27" t="s">
        <v>1513</v>
      </c>
      <c r="C167" s="27" t="s">
        <v>1825</v>
      </c>
      <c r="D167" s="28" t="s">
        <v>576</v>
      </c>
      <c r="E167" s="27" t="s">
        <v>71</v>
      </c>
      <c r="F167" s="29" t="n">
        <v>46273</v>
      </c>
      <c r="G167" s="28" t="s">
        <v>1137</v>
      </c>
      <c r="H167" s="30"/>
      <c r="I167" s="28" t="s">
        <v>1515</v>
      </c>
      <c r="J167" s="27" t="s">
        <v>1838</v>
      </c>
    </row>
    <row r="168" customFormat="false" ht="15" hidden="false" customHeight="true" outlineLevel="0" collapsed="false">
      <c r="A168" s="27" t="s">
        <v>1839</v>
      </c>
      <c r="B168" s="27" t="s">
        <v>1513</v>
      </c>
      <c r="C168" s="27" t="s">
        <v>1825</v>
      </c>
      <c r="D168" s="28" t="s">
        <v>576</v>
      </c>
      <c r="E168" s="27" t="s">
        <v>71</v>
      </c>
      <c r="F168" s="29" t="n">
        <v>46273</v>
      </c>
      <c r="G168" s="28" t="s">
        <v>1137</v>
      </c>
      <c r="H168" s="30"/>
      <c r="I168" s="28" t="s">
        <v>1515</v>
      </c>
      <c r="J168" s="27" t="s">
        <v>1840</v>
      </c>
    </row>
    <row r="169" customFormat="false" ht="15" hidden="false" customHeight="true" outlineLevel="0" collapsed="false">
      <c r="A169" s="27" t="s">
        <v>1841</v>
      </c>
      <c r="B169" s="27" t="s">
        <v>1513</v>
      </c>
      <c r="C169" s="27" t="s">
        <v>1825</v>
      </c>
      <c r="D169" s="28" t="s">
        <v>576</v>
      </c>
      <c r="E169" s="27" t="s">
        <v>71</v>
      </c>
      <c r="F169" s="29" t="n">
        <v>46273</v>
      </c>
      <c r="G169" s="28" t="s">
        <v>1137</v>
      </c>
      <c r="H169" s="30"/>
      <c r="I169" s="28" t="s">
        <v>1515</v>
      </c>
      <c r="J169" s="27" t="s">
        <v>1842</v>
      </c>
    </row>
    <row r="170" customFormat="false" ht="15" hidden="false" customHeight="true" outlineLevel="0" collapsed="false">
      <c r="A170" s="27" t="s">
        <v>1293</v>
      </c>
      <c r="B170" s="27" t="s">
        <v>1513</v>
      </c>
      <c r="C170" s="27" t="s">
        <v>1825</v>
      </c>
      <c r="D170" s="28" t="s">
        <v>576</v>
      </c>
      <c r="E170" s="27" t="s">
        <v>71</v>
      </c>
      <c r="F170" s="29" t="n">
        <v>46283</v>
      </c>
      <c r="G170" s="28" t="s">
        <v>1514</v>
      </c>
      <c r="H170" s="30"/>
      <c r="I170" s="28" t="s">
        <v>1515</v>
      </c>
      <c r="J170" s="27" t="s">
        <v>1843</v>
      </c>
    </row>
    <row r="171" customFormat="false" ht="15" hidden="false" customHeight="true" outlineLevel="0" collapsed="false">
      <c r="A171" s="27" t="s">
        <v>1844</v>
      </c>
      <c r="B171" s="27" t="s">
        <v>1513</v>
      </c>
      <c r="C171" s="27" t="s">
        <v>1825</v>
      </c>
      <c r="D171" s="28" t="s">
        <v>576</v>
      </c>
      <c r="E171" s="27" t="s">
        <v>71</v>
      </c>
      <c r="F171" s="29" t="n">
        <v>46283</v>
      </c>
      <c r="G171" s="28" t="s">
        <v>1137</v>
      </c>
      <c r="H171" s="30"/>
      <c r="I171" s="28" t="s">
        <v>1515</v>
      </c>
      <c r="J171" s="27" t="s">
        <v>1845</v>
      </c>
    </row>
    <row r="172" customFormat="false" ht="15" hidden="false" customHeight="true" outlineLevel="0" collapsed="false">
      <c r="A172" s="27" t="s">
        <v>1846</v>
      </c>
      <c r="B172" s="27" t="s">
        <v>1513</v>
      </c>
      <c r="C172" s="27" t="s">
        <v>1825</v>
      </c>
      <c r="D172" s="28" t="s">
        <v>576</v>
      </c>
      <c r="E172" s="27" t="s">
        <v>71</v>
      </c>
      <c r="F172" s="29" t="n">
        <v>46283</v>
      </c>
      <c r="G172" s="28" t="s">
        <v>1137</v>
      </c>
      <c r="H172" s="30"/>
      <c r="I172" s="28" t="s">
        <v>1515</v>
      </c>
      <c r="J172" s="27" t="s">
        <v>1847</v>
      </c>
    </row>
    <row r="173" customFormat="false" ht="15" hidden="false" customHeight="true" outlineLevel="0" collapsed="false">
      <c r="A173" s="27" t="s">
        <v>1355</v>
      </c>
      <c r="B173" s="27" t="s">
        <v>1848</v>
      </c>
      <c r="C173" s="27" t="s">
        <v>1849</v>
      </c>
      <c r="D173" s="28" t="s">
        <v>577</v>
      </c>
      <c r="E173" s="27" t="s">
        <v>66</v>
      </c>
      <c r="F173" s="29" t="n">
        <v>46294</v>
      </c>
      <c r="G173" s="28" t="s">
        <v>1850</v>
      </c>
      <c r="H173" s="30"/>
      <c r="I173" s="28" t="s">
        <v>1521</v>
      </c>
      <c r="J173" s="27" t="s">
        <v>1851</v>
      </c>
    </row>
    <row r="174" customFormat="false" ht="15" hidden="false" customHeight="true" outlineLevel="0" collapsed="false">
      <c r="A174" s="27" t="s">
        <v>1852</v>
      </c>
      <c r="B174" s="27" t="s">
        <v>1848</v>
      </c>
      <c r="C174" s="27" t="s">
        <v>1087</v>
      </c>
      <c r="D174" s="28" t="s">
        <v>578</v>
      </c>
      <c r="E174" s="27" t="s">
        <v>71</v>
      </c>
      <c r="F174" s="29" t="n">
        <v>46294</v>
      </c>
      <c r="G174" s="28" t="s">
        <v>1853</v>
      </c>
      <c r="H174" s="30"/>
      <c r="I174" s="28" t="s">
        <v>1515</v>
      </c>
      <c r="J174" s="27" t="s">
        <v>1854</v>
      </c>
    </row>
    <row r="175" customFormat="false" ht="15" hidden="false" customHeight="true" outlineLevel="0" collapsed="false">
      <c r="A175" s="27" t="s">
        <v>1855</v>
      </c>
      <c r="B175" s="27" t="s">
        <v>1848</v>
      </c>
      <c r="C175" s="27" t="s">
        <v>1856</v>
      </c>
      <c r="D175" s="28" t="s">
        <v>578</v>
      </c>
      <c r="E175" s="27" t="s">
        <v>71</v>
      </c>
      <c r="F175" s="29" t="n">
        <v>46294</v>
      </c>
      <c r="G175" s="28" t="s">
        <v>1853</v>
      </c>
      <c r="H175" s="30"/>
      <c r="I175" s="28" t="s">
        <v>1515</v>
      </c>
      <c r="J175" s="27" t="s">
        <v>1857</v>
      </c>
    </row>
    <row r="176" customFormat="false" ht="15" hidden="false" customHeight="true" outlineLevel="0" collapsed="false">
      <c r="A176" s="27" t="s">
        <v>1858</v>
      </c>
      <c r="B176" s="27" t="s">
        <v>1848</v>
      </c>
      <c r="C176" s="27" t="s">
        <v>1200</v>
      </c>
      <c r="D176" s="28" t="s">
        <v>579</v>
      </c>
      <c r="E176" s="27" t="s">
        <v>66</v>
      </c>
      <c r="F176" s="29" t="n">
        <v>46294</v>
      </c>
      <c r="G176" s="28" t="s">
        <v>1859</v>
      </c>
      <c r="H176" s="30"/>
      <c r="I176" s="28" t="s">
        <v>1521</v>
      </c>
      <c r="J176" s="27" t="s">
        <v>1860</v>
      </c>
    </row>
    <row r="177" customFormat="false" ht="15" hidden="false" customHeight="true" outlineLevel="0" collapsed="false">
      <c r="A177" s="27" t="s">
        <v>1861</v>
      </c>
      <c r="B177" s="27" t="s">
        <v>1848</v>
      </c>
      <c r="C177" s="27" t="s">
        <v>1198</v>
      </c>
      <c r="D177" s="28" t="s">
        <v>577</v>
      </c>
      <c r="E177" s="27" t="s">
        <v>71</v>
      </c>
      <c r="F177" s="29" t="n">
        <v>46294</v>
      </c>
      <c r="G177" s="28" t="s">
        <v>1859</v>
      </c>
      <c r="H177" s="30"/>
      <c r="I177" s="28" t="s">
        <v>1515</v>
      </c>
      <c r="J177" s="27" t="s">
        <v>1862</v>
      </c>
    </row>
    <row r="178" customFormat="false" ht="15" hidden="false" customHeight="true" outlineLevel="0" collapsed="false">
      <c r="A178" s="27" t="s">
        <v>1863</v>
      </c>
      <c r="B178" s="27" t="s">
        <v>1848</v>
      </c>
      <c r="C178" s="27" t="s">
        <v>1864</v>
      </c>
      <c r="D178" s="28" t="s">
        <v>578</v>
      </c>
      <c r="E178" s="27" t="s">
        <v>66</v>
      </c>
      <c r="F178" s="29" t="n">
        <v>46295</v>
      </c>
      <c r="G178" s="28" t="s">
        <v>1859</v>
      </c>
      <c r="H178" s="30"/>
      <c r="I178" s="28" t="s">
        <v>1521</v>
      </c>
      <c r="J178" s="27" t="s">
        <v>1865</v>
      </c>
    </row>
  </sheetData>
  <autoFilter ref="A1:J1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2026-04-24T16:42:49Z</dcterms:created>
  <dc:creator>openpyxl</dc:creator>
  <dc:description/>
  <dc:language>en-US</dc:language>
  <cp:lastModifiedBy>Andrés Posada Cortázar</cp:lastModifiedBy>
  <dcterms:modified xsi:type="dcterms:W3CDTF">2026-10-29T00:39:27Z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0x01010063B4EE054B2A2540A984F81D137F4EF0</vt:lpwstr>
  </property>
  <property fmtid="{D5CDD505-2E9C-101B-9397-08002B2CF9AE}" pid="3" name="MediaServiceImageTags">
    <vt:lpwstr/>
  </property>
</Properties>
</file>